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hedule of Rates" sheetId="1" state="visible" r:id="rId1"/>
  </sheets>
  <definedNames>
    <definedName name="_xlnm._FilterDatabase" localSheetId="0" hidden="1">'Schedule of Rates'!$A$3:$H$312</definedName>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name val="Segoe UI"/>
      <b val="1"/>
      <color rgb="001F376A"/>
      <sz val="14"/>
    </font>
    <font>
      <name val="Segoe UI"/>
      <b val="1"/>
      <color rgb="00FFFFFF"/>
      <sz val="11"/>
    </font>
    <font>
      <name val="Segoe UI"/>
      <b val="1"/>
      <color rgb="001F376A"/>
      <sz val="11"/>
    </font>
    <font>
      <name val="Segoe UI"/>
      <color rgb="002B3036"/>
      <sz val="10"/>
    </font>
    <font>
      <name val="Segoe UI"/>
      <b val="1"/>
      <color rgb="002B3036"/>
      <sz val="10"/>
    </font>
    <font>
      <name val="Segoe UI"/>
      <b val="1"/>
      <color rgb="001F376A"/>
      <sz val="10"/>
    </font>
  </fonts>
  <fills count="5">
    <fill>
      <patternFill/>
    </fill>
    <fill>
      <patternFill patternType="gray125"/>
    </fill>
    <fill>
      <patternFill patternType="solid">
        <fgColor rgb="001F376A"/>
        <bgColor rgb="001F376A"/>
      </patternFill>
    </fill>
    <fill>
      <patternFill patternType="solid">
        <fgColor rgb="00FFF3EA"/>
        <bgColor rgb="00FFF3EA"/>
      </patternFill>
    </fill>
    <fill>
      <patternFill patternType="solid">
        <fgColor rgb="00E2F0D9"/>
        <bgColor rgb="00E2F0D9"/>
      </patternFill>
    </fill>
  </fills>
  <borders count="4">
    <border>
      <left/>
      <right/>
      <top/>
      <bottom/>
      <diagonal/>
    </border>
    <border>
      <left style="thin">
        <color rgb="00CBD5E1"/>
      </left>
      <right style="thin">
        <color rgb="00CBD5E1"/>
      </right>
      <top style="thin">
        <color rgb="00CBD5E1"/>
      </top>
      <bottom style="thin">
        <color rgb="00CBD5E1"/>
      </bottom>
    </border>
    <border>
      <top style="thin">
        <color rgb="001F376A"/>
      </top>
      <bottom style="double">
        <color rgb="001F376A"/>
      </bottom>
    </border>
    <border>
      <top style="thin">
        <color rgb="001F376A"/>
      </top>
    </border>
  </borders>
  <cellStyleXfs count="1">
    <xf numFmtId="0" fontId="0" fillId="0" borderId="0"/>
  </cellStyleXfs>
  <cellXfs count="22">
    <xf numFmtId="0" fontId="0" fillId="0" borderId="0" pivotButton="0" quotePrefix="0" xfId="0"/>
    <xf numFmtId="0" fontId="1" fillId="0" borderId="0" applyAlignment="1" pivotButton="0" quotePrefix="0" xfId="0">
      <alignment horizontal="left" vertical="center"/>
    </xf>
    <xf numFmtId="0" fontId="2" fillId="2" borderId="1" applyAlignment="1" pivotButton="0" quotePrefix="0" xfId="0">
      <alignment horizontal="left" vertical="center"/>
    </xf>
    <xf numFmtId="0" fontId="2" fillId="2" borderId="1" applyAlignment="1" pivotButton="0" quotePrefix="0" xfId="0">
      <alignment horizontal="center" vertical="center"/>
    </xf>
    <xf numFmtId="0" fontId="2" fillId="2" borderId="1" applyAlignment="1" pivotButton="0" quotePrefix="0" xfId="0">
      <alignment horizontal="right" vertical="center"/>
    </xf>
    <xf numFmtId="0" fontId="3" fillId="3" borderId="1" applyAlignment="1" pivotButton="0" quotePrefix="0" xfId="0">
      <alignment horizontal="left" vertical="center"/>
    </xf>
    <xf numFmtId="0" fontId="0" fillId="0" borderId="1" pivotButton="0" quotePrefix="0" xfId="0"/>
    <xf numFmtId="0" fontId="4" fillId="0" borderId="1" applyAlignment="1" pivotButton="0" quotePrefix="0" xfId="0">
      <alignment horizontal="left" vertical="center"/>
    </xf>
    <xf numFmtId="0" fontId="4" fillId="0" borderId="1" applyAlignment="1" pivotButton="0" quotePrefix="0" xfId="0">
      <alignment horizontal="left" vertical="center" wrapText="1"/>
    </xf>
    <xf numFmtId="0" fontId="4" fillId="0" borderId="1" applyAlignment="1" pivotButton="0" quotePrefix="0" xfId="0">
      <alignment horizontal="center" vertical="center"/>
    </xf>
    <xf numFmtId="164" fontId="4" fillId="0" borderId="1" applyAlignment="1" pivotButton="0" quotePrefix="0" xfId="0">
      <alignment horizontal="right" vertical="center"/>
    </xf>
    <xf numFmtId="3" fontId="4" fillId="0" borderId="1" applyAlignment="1" pivotButton="0" quotePrefix="0" xfId="0">
      <alignment horizontal="center" vertical="center"/>
    </xf>
    <xf numFmtId="164" fontId="5" fillId="0" borderId="1" applyAlignment="1" pivotButton="0" quotePrefix="0" xfId="0">
      <alignment horizontal="right" vertical="center"/>
    </xf>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0" fontId="4" fillId="4" borderId="1" applyAlignment="1" pivotButton="0" quotePrefix="0" xfId="0">
      <alignment horizontal="center" vertical="center"/>
    </xf>
    <xf numFmtId="164" fontId="4" fillId="4" borderId="1" applyAlignment="1" pivotButton="0" quotePrefix="0" xfId="0">
      <alignment horizontal="right" vertical="center"/>
    </xf>
    <xf numFmtId="3" fontId="5" fillId="4" borderId="1" applyAlignment="1" pivotButton="0" quotePrefix="0" xfId="0">
      <alignment horizontal="center" vertical="center"/>
    </xf>
    <xf numFmtId="164" fontId="5" fillId="4" borderId="1" applyAlignment="1" pivotButton="0" quotePrefix="0" xfId="0">
      <alignment horizontal="right" vertical="center"/>
    </xf>
    <xf numFmtId="0" fontId="0" fillId="3" borderId="3" pivotButton="0" quotePrefix="0" xfId="0"/>
    <xf numFmtId="0" fontId="6" fillId="3" borderId="3" applyAlignment="1" pivotButton="0" quotePrefix="0" xfId="0">
      <alignment horizontal="right" vertical="center"/>
    </xf>
    <xf numFmtId="164" fontId="3" fillId="3" borderId="2"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13"/>
  <sheetViews>
    <sheetView showGridLines="1" workbookViewId="0">
      <selection activeCell="A1" sqref="A1"/>
    </sheetView>
  </sheetViews>
  <sheetFormatPr baseColWidth="8" defaultRowHeight="15"/>
  <cols>
    <col width="15" customWidth="1" min="1" max="1"/>
    <col width="65" customWidth="1" min="2" max="2"/>
    <col width="15" customWidth="1" min="3" max="3"/>
    <col width="10" customWidth="1" min="4" max="4"/>
    <col width="15" customWidth="1" min="5" max="5"/>
    <col width="12" customWidth="1" min="6" max="6"/>
    <col width="20" customWidth="1" min="7" max="7"/>
    <col width="30" customWidth="1" min="8" max="8"/>
  </cols>
  <sheetData>
    <row r="1" ht="35" customHeight="1">
      <c r="A1" s="1" t="inlineStr">
        <is>
          <t>SCHEDULE OF RATES (SOR) BILL OF QUANTITIES</t>
        </is>
      </c>
    </row>
    <row r="3" ht="28" customHeight="1">
      <c r="A3" s="2" t="inlineStr">
        <is>
          <t>SOR Code</t>
        </is>
      </c>
      <c r="B3" s="2" t="inlineStr">
        <is>
          <t>Item Description</t>
        </is>
      </c>
      <c r="C3" s="3" t="inlineStr">
        <is>
          <t>Action</t>
        </is>
      </c>
      <c r="D3" s="3" t="inlineStr">
        <is>
          <t>Unit</t>
        </is>
      </c>
      <c r="E3" s="4" t="inlineStr">
        <is>
          <t>Rate</t>
        </is>
      </c>
      <c r="F3" s="3" t="inlineStr">
        <is>
          <t>Quantity</t>
        </is>
      </c>
      <c r="G3" s="4" t="inlineStr">
        <is>
          <t>Total Cost</t>
        </is>
      </c>
      <c r="H3" s="2" t="inlineStr">
        <is>
          <t>Comments</t>
        </is>
      </c>
    </row>
    <row r="4" ht="24" customHeight="1">
      <c r="A4" s="5" t="inlineStr">
        <is>
          <t>ODU AND SHELTER (INC PLANT)</t>
        </is>
      </c>
      <c r="B4" s="6" t="n"/>
      <c r="C4" s="6" t="n"/>
      <c r="D4" s="6" t="n"/>
      <c r="E4" s="6" t="n"/>
      <c r="F4" s="6" t="n"/>
      <c r="G4" s="6" t="n"/>
      <c r="H4" s="6" t="n"/>
    </row>
    <row r="5" ht="26" customHeight="1">
      <c r="A5" s="7" t="inlineStr">
        <is>
          <t>W7497</t>
        </is>
      </c>
      <c r="B5" s="8" t="inlineStr">
        <is>
          <t>Mobiles Site Shelter / Hut</t>
        </is>
      </c>
      <c r="C5" s="9" t="inlineStr"/>
      <c r="D5" s="9" t="inlineStr">
        <is>
          <t>each</t>
        </is>
      </c>
      <c r="E5" s="10" t="n">
        <v>1147.5</v>
      </c>
      <c r="F5" s="11" t="n">
        <v>0</v>
      </c>
      <c r="G5" s="12">
        <f>E5*F5</f>
        <v/>
      </c>
      <c r="H5" s="7" t="inlineStr"/>
    </row>
    <row r="6" ht="40" customHeight="1">
      <c r="A6" s="7" t="inlineStr">
        <is>
          <t>W7498</t>
        </is>
      </c>
      <c r="B6" s="8" t="inlineStr">
        <is>
          <t>Outdoor Cabinet (ODU) / Battery Backup Unit (BBU) Combination as per Standard Drawings 017866P12-14</t>
        </is>
      </c>
      <c r="C6" s="9" t="inlineStr"/>
      <c r="D6" s="9" t="inlineStr">
        <is>
          <t>each</t>
        </is>
      </c>
      <c r="E6" s="10" t="n">
        <v>9360</v>
      </c>
      <c r="F6" s="11" t="n">
        <v>0</v>
      </c>
      <c r="G6" s="12">
        <f>E6*F6</f>
        <v/>
      </c>
      <c r="H6" s="7" t="inlineStr"/>
    </row>
    <row r="7" ht="40" customHeight="1">
      <c r="A7" s="7" t="inlineStr">
        <is>
          <t>W13327</t>
        </is>
      </c>
      <c r="B7" s="8" t="inlineStr">
        <is>
          <t>Extended Battery Cabinet (EBE) – Extra Over W7498 Outdoor Cabinet (ODU) / Battery Backup Unit (BBU) Combination</t>
        </is>
      </c>
      <c r="C7" s="9" t="inlineStr"/>
      <c r="D7" s="9" t="inlineStr">
        <is>
          <t>each</t>
        </is>
      </c>
      <c r="E7" s="10" t="n">
        <v>3305</v>
      </c>
      <c r="F7" s="11" t="n">
        <v>0</v>
      </c>
      <c r="G7" s="12">
        <f>E7*F7</f>
        <v/>
      </c>
      <c r="H7" s="7" t="inlineStr"/>
    </row>
    <row r="8" ht="26" customHeight="1">
      <c r="A8" s="7" t="inlineStr">
        <is>
          <t>W13328</t>
        </is>
      </c>
      <c r="B8" s="8" t="inlineStr">
        <is>
          <t>Swap Out Old RBS in ODU with new RBS in ODU</t>
        </is>
      </c>
      <c r="C8" s="9" t="inlineStr"/>
      <c r="D8" s="9" t="inlineStr">
        <is>
          <t>Each</t>
        </is>
      </c>
      <c r="E8" s="10" t="n">
        <v>1060</v>
      </c>
      <c r="F8" s="11" t="n">
        <v>0</v>
      </c>
      <c r="G8" s="12">
        <f>E8*F8</f>
        <v/>
      </c>
      <c r="H8" s="7" t="inlineStr"/>
    </row>
    <row r="9" ht="40" customHeight="1">
      <c r="A9" s="7" t="inlineStr">
        <is>
          <t>W13329</t>
        </is>
      </c>
      <c r="B9" s="8" t="inlineStr">
        <is>
          <t>Swap Out Old Battery Backup Unit (BBU) with new Battery Backup Unit (BBU)</t>
        </is>
      </c>
      <c r="C9" s="9" t="inlineStr"/>
      <c r="D9" s="9" t="inlineStr">
        <is>
          <t>Each</t>
        </is>
      </c>
      <c r="E9" s="10" t="n">
        <v>1290</v>
      </c>
      <c r="F9" s="11" t="n">
        <v>0</v>
      </c>
      <c r="G9" s="12">
        <f>E9*F9</f>
        <v/>
      </c>
      <c r="H9" s="7" t="inlineStr"/>
    </row>
    <row r="10" ht="40" customHeight="1">
      <c r="A10" s="7" t="inlineStr">
        <is>
          <t>R13156</t>
        </is>
      </c>
      <c r="B10" s="8" t="inlineStr">
        <is>
          <t>Decommission, Removal and recovery of existing ODU including RBS equipment</t>
        </is>
      </c>
      <c r="C10" s="9" t="inlineStr"/>
      <c r="D10" s="9" t="inlineStr">
        <is>
          <t>Each</t>
        </is>
      </c>
      <c r="E10" s="10" t="n">
        <v>2680</v>
      </c>
      <c r="F10" s="11" t="n">
        <v>0</v>
      </c>
      <c r="G10" s="12">
        <f>E10*F10</f>
        <v/>
      </c>
      <c r="H10" s="7" t="inlineStr"/>
    </row>
    <row r="11" ht="40" customHeight="1">
      <c r="A11" s="7" t="inlineStr">
        <is>
          <t>R13157</t>
        </is>
      </c>
      <c r="B11" s="8" t="inlineStr">
        <is>
          <t>Decommission, Removal and recovery of existing BBU or EBE including Power and battery</t>
        </is>
      </c>
      <c r="C11" s="9" t="inlineStr"/>
      <c r="D11" s="9" t="inlineStr">
        <is>
          <t>each</t>
        </is>
      </c>
      <c r="E11" s="10" t="n">
        <v>2450</v>
      </c>
      <c r="F11" s="11" t="n">
        <v>0</v>
      </c>
      <c r="G11" s="12">
        <f>E11*F11</f>
        <v/>
      </c>
      <c r="H11" s="7" t="inlineStr"/>
    </row>
    <row r="12" ht="24" customHeight="1">
      <c r="A12" s="5" t="inlineStr">
        <is>
          <t>CABLE TRAY AND CABLE SUPPORT STRUCTURES (INC PLANT)</t>
        </is>
      </c>
      <c r="B12" s="6" t="n"/>
      <c r="C12" s="6" t="n"/>
      <c r="D12" s="6" t="n"/>
      <c r="E12" s="6" t="n"/>
      <c r="F12" s="6" t="n"/>
      <c r="G12" s="6" t="n"/>
      <c r="H12" s="6" t="n"/>
    </row>
    <row r="13" ht="68" customHeight="1">
      <c r="A13" s="7" t="inlineStr">
        <is>
          <t>W8678</t>
        </is>
      </c>
      <c r="B13" s="8" t="inlineStr">
        <is>
          <t>Additional Horizontal Cable Feeder Tray Section between Structure and accommodation window/entry point (per 6m increments) - Extra Over initial 3 metres of horizontal cable tray included in Pole/Structure SORs (eg: W9106 or similar)</t>
        </is>
      </c>
      <c r="C13" s="9" t="inlineStr"/>
      <c r="D13" s="9" t="inlineStr">
        <is>
          <t>Per 6 Lm</t>
        </is>
      </c>
      <c r="E13" s="10" t="n">
        <v>1266.3</v>
      </c>
      <c r="F13" s="11" t="n">
        <v>0</v>
      </c>
      <c r="G13" s="12">
        <f>E13*F13</f>
        <v/>
      </c>
      <c r="H13" s="7" t="inlineStr"/>
    </row>
    <row r="14" ht="26" customHeight="1">
      <c r="A14" s="7" t="inlineStr">
        <is>
          <t>W9060</t>
        </is>
      </c>
      <c r="B14" s="8" t="inlineStr">
        <is>
          <t>Vertical Cable Feeder Tray (per 6m increments)</t>
        </is>
      </c>
      <c r="C14" s="9" t="inlineStr"/>
      <c r="D14" s="9" t="inlineStr">
        <is>
          <t>Per 6 Lm</t>
        </is>
      </c>
      <c r="E14" s="10" t="n">
        <v>897.2</v>
      </c>
      <c r="F14" s="11" t="n">
        <v>0</v>
      </c>
      <c r="G14" s="12">
        <f>E14*F14</f>
        <v/>
      </c>
      <c r="H14" s="7" t="inlineStr"/>
    </row>
    <row r="15" ht="26" customHeight="1">
      <c r="A15" s="7" t="inlineStr">
        <is>
          <t>W13366</t>
        </is>
      </c>
      <c r="B15" s="8" t="inlineStr">
        <is>
          <t>Horizontal Cable Feeder Tray (per 6m increments)</t>
        </is>
      </c>
      <c r="C15" s="9" t="inlineStr"/>
      <c r="D15" s="9" t="inlineStr">
        <is>
          <t>Per 6 Lm</t>
        </is>
      </c>
      <c r="E15" s="10" t="n">
        <v>1026.3</v>
      </c>
      <c r="F15" s="11" t="n">
        <v>0</v>
      </c>
      <c r="G15" s="12">
        <f>E15*F15</f>
        <v/>
      </c>
      <c r="H15" s="7" t="inlineStr"/>
    </row>
    <row r="16" ht="24" customHeight="1">
      <c r="A16" s="5" t="inlineStr">
        <is>
          <t>EARTHING (INC PLANT)</t>
        </is>
      </c>
      <c r="B16" s="6" t="n"/>
      <c r="C16" s="6" t="n"/>
      <c r="D16" s="6" t="n"/>
      <c r="E16" s="6" t="n"/>
      <c r="F16" s="6" t="n"/>
      <c r="G16" s="6" t="n"/>
      <c r="H16" s="6" t="n"/>
    </row>
    <row r="17" ht="26" customHeight="1">
      <c r="A17" s="7" t="inlineStr">
        <is>
          <t>W11417</t>
        </is>
      </c>
      <c r="B17" s="8" t="inlineStr">
        <is>
          <t>Buried Galvanised Earth Strap</t>
        </is>
      </c>
      <c r="C17" s="9" t="inlineStr"/>
      <c r="D17" s="9" t="inlineStr">
        <is>
          <t>Lm</t>
        </is>
      </c>
      <c r="E17" s="10" t="n">
        <v>62.5</v>
      </c>
      <c r="F17" s="11" t="n">
        <v>0</v>
      </c>
      <c r="G17" s="12">
        <f>E17*F17</f>
        <v/>
      </c>
      <c r="H17" s="7" t="inlineStr"/>
    </row>
    <row r="18" ht="26" customHeight="1">
      <c r="A18" s="7" t="inlineStr">
        <is>
          <t>W11418</t>
        </is>
      </c>
      <c r="B18" s="8" t="inlineStr">
        <is>
          <t>Buried Copper Earth Strap</t>
        </is>
      </c>
      <c r="C18" s="9" t="inlineStr"/>
      <c r="D18" s="9" t="inlineStr">
        <is>
          <t>Lm</t>
        </is>
      </c>
      <c r="E18" s="10" t="n">
        <v>68.3</v>
      </c>
      <c r="F18" s="11" t="n">
        <v>0</v>
      </c>
      <c r="G18" s="12">
        <f>E18*F18</f>
        <v/>
      </c>
      <c r="H18" s="7" t="inlineStr"/>
    </row>
    <row r="19" ht="26" customHeight="1">
      <c r="A19" s="7" t="inlineStr">
        <is>
          <t>W11419</t>
        </is>
      </c>
      <c r="B19" s="8" t="inlineStr">
        <is>
          <t>Driven Earth Electrodes (2 x 1440 long) &amp; Pit - First</t>
        </is>
      </c>
      <c r="C19" s="9" t="inlineStr"/>
      <c r="D19" s="9" t="inlineStr">
        <is>
          <t>each</t>
        </is>
      </c>
      <c r="E19" s="10" t="n">
        <v>936.5</v>
      </c>
      <c r="F19" s="11" t="n">
        <v>0</v>
      </c>
      <c r="G19" s="12">
        <f>E19*F19</f>
        <v/>
      </c>
      <c r="H19" s="7" t="inlineStr"/>
    </row>
    <row r="20" ht="40" customHeight="1">
      <c r="A20" s="7" t="inlineStr">
        <is>
          <t>W13325</t>
        </is>
      </c>
      <c r="B20" s="8" t="inlineStr">
        <is>
          <t>Additional earthing rods up to 1500 long - Extra Over W11419 (Driven Earth Electrodes (2 x 1440 long) &amp; Pit)</t>
        </is>
      </c>
      <c r="C20" s="9" t="inlineStr"/>
      <c r="D20" s="9" t="inlineStr">
        <is>
          <t>Each</t>
        </is>
      </c>
      <c r="E20" s="10" t="n">
        <v>206.45</v>
      </c>
      <c r="F20" s="11" t="n">
        <v>0</v>
      </c>
      <c r="G20" s="12">
        <f>E20*F20</f>
        <v/>
      </c>
      <c r="H20" s="7" t="inlineStr"/>
    </row>
    <row r="21" ht="26" customHeight="1">
      <c r="A21" s="7" t="inlineStr">
        <is>
          <t>W11420</t>
        </is>
      </c>
      <c r="B21" s="8" t="inlineStr">
        <is>
          <t>Drilled Earth Electrode Up to 6 m long &amp; Pit - First</t>
        </is>
      </c>
      <c r="C21" s="9" t="inlineStr"/>
      <c r="D21" s="9" t="inlineStr">
        <is>
          <t>each</t>
        </is>
      </c>
      <c r="E21" s="10" t="n">
        <v>1290</v>
      </c>
      <c r="F21" s="11" t="n">
        <v>0</v>
      </c>
      <c r="G21" s="12">
        <f>E21*F21</f>
        <v/>
      </c>
      <c r="H21" s="7" t="inlineStr"/>
    </row>
    <row r="22" ht="40" customHeight="1">
      <c r="A22" s="7" t="inlineStr">
        <is>
          <t>W13326</t>
        </is>
      </c>
      <c r="B22" s="8" t="inlineStr">
        <is>
          <t>Additional earthing rods and/or rod length greater than 6 metres.- Extra Over W11420 (Drilled Earth Electrodes &amp; Pit)</t>
        </is>
      </c>
      <c r="C22" s="9" t="inlineStr"/>
      <c r="D22" s="9" t="inlineStr">
        <is>
          <t>Lm</t>
        </is>
      </c>
      <c r="E22" s="10" t="n">
        <v>291</v>
      </c>
      <c r="F22" s="11" t="n">
        <v>0</v>
      </c>
      <c r="G22" s="12">
        <f>E22*F22</f>
        <v/>
      </c>
      <c r="H22" s="7" t="inlineStr"/>
    </row>
    <row r="23" ht="26" customHeight="1">
      <c r="A23" s="7" t="inlineStr">
        <is>
          <t>W12514</t>
        </is>
      </c>
      <c r="B23" s="8" t="inlineStr">
        <is>
          <t>Feeder Earth Bar (FEB)</t>
        </is>
      </c>
      <c r="C23" s="9" t="inlineStr"/>
      <c r="D23" s="9" t="inlineStr">
        <is>
          <t>Each</t>
        </is>
      </c>
      <c r="E23" s="10" t="n">
        <v>465</v>
      </c>
      <c r="F23" s="11" t="n">
        <v>0</v>
      </c>
      <c r="G23" s="12">
        <f>E23*F23</f>
        <v/>
      </c>
      <c r="H23" s="7" t="inlineStr"/>
    </row>
    <row r="24" ht="24" customHeight="1">
      <c r="A24" s="5" t="inlineStr">
        <is>
          <t>ANTENNAS, RRUS, TMDS (EX PLANT, INC TESTING, FIM)</t>
        </is>
      </c>
      <c r="B24" s="6" t="n"/>
      <c r="C24" s="6" t="n"/>
      <c r="D24" s="6" t="n"/>
      <c r="E24" s="6" t="n"/>
      <c r="F24" s="6" t="n"/>
      <c r="G24" s="6" t="n"/>
      <c r="H24" s="6" t="n"/>
    </row>
    <row r="25" ht="26" customHeight="1">
      <c r="A25" s="13" t="inlineStr">
        <is>
          <t>R12513</t>
        </is>
      </c>
      <c r="B25" s="14" t="inlineStr">
        <is>
          <t>Remove Panel Antenna or tower mounted device</t>
        </is>
      </c>
      <c r="C25" s="15" t="inlineStr">
        <is>
          <t>REMOVE</t>
        </is>
      </c>
      <c r="D25" s="15" t="inlineStr">
        <is>
          <t>each</t>
        </is>
      </c>
      <c r="E25" s="16" t="n">
        <v>285</v>
      </c>
      <c r="F25" s="17" t="n">
        <v>19</v>
      </c>
      <c r="G25" s="18">
        <f>E25*F25</f>
        <v/>
      </c>
      <c r="H25" s="13" t="inlineStr">
        <is>
          <t>Statement: Table row under EQUIPMENT NOTES - PROJECT NO. NA25797.01: REMOVE 2.0x model ERICSSON R503 details INSTALLED IN PATHFINDER RACK AT RT/1/1 INSTALLED IN PATHFINDER RACK AT RT/1/1 with ID 19 on sector - -&gt; Rules Applied: Rule R: Remote Radio Unit (RRU), Rule R: Remote Radio Unit (RRU) Removal -&gt; Match Reason: The requirement specifies the removal of an Ericsson R503 (Remote Radio Unit) with an 'REMOVE' action constraint and category constraint 'Remote Radio Unit (RRU)'. Candidate row R12513 directly matches the 'Remote Radio Unit (RRU) Removal' description and action. | Statement: Table row under EQUIPMENT NOTES - PROJECT NO. NA25797.01: REMOVE 1.0x model COOLING FAN FILTER details - - with ID 63 on sector - -&gt; Rules Applied: Tower Mounted Device Removal -&gt; Match Reason: Mapped deterministically by rule: Tower Mounted Device Removal | Statement: Table row under TELSTRA MOBILES ANTENNA CONFIGURATION TABLE: REMOVE 1.0x model ARGUS RVVPX310.11B-T2H PANEL details ARGUS RVVPX310.11B-T2H PANEL ARGUS RVVPX310.11B-T2H PANEL with ID A1 (OLD) on sector - -&gt; Rules Applied: Remove Panel Antenna or tower mounted device -&gt; Match Reason: Mapped deterministically by rule: Remove Panel Antenna or tower mounted device | Statement: Table row under TELSTRA MOBILES ANTENNA CONFIGURATION TABLE: REMOVE 1.0x model ARGUS RVVPX310B2 PANEL details ARGUS RVVPX310B2 PANEL ARGUS RVVPX310B2 PANEL with ID A3 on sector - -&gt; Rules Applied: Remove Panel Antenna or tower mounted device -&gt; Match Reason: Mapped deterministically by rule: Remove Panel Antenna or tower mounted device | Statement: Table row under TELSTRA MOBILES ANTENNA CONFIGURATION TABLE: REMOVE 1.0x model ERICSSON AIR6488 PANEL details ERICSSON AIR6488 PANEL ERICSSON AIR6488 PANEL with ID A4 (OLD) on sector - -&gt; Rules Applied: Remove Panel Antenna or tower mounted device -&gt; Match Reason: Mapped deterministically by rule: Remove Panel Antenna or tower mounted device | Statement: Table row under TELSTRA MOBILES ANTENNA CONFIGURATION TABLE: REMOVE 1.0x model ARGUS RVVPX310.11B-T2H PANEL details ARGUS RVVPX310.11B-T2H PANEL ARGUS RVVPX310.11B-T2H PANEL with ID A5 (OLD) on sector - -&gt; Rules Applied: Remove Panel Antenna or tower mounted device -&gt; Match Reason: Mapped deterministically by rule: Remove Panel Antenna or tower mounted device | Statement: Table row under TELSTRA MOBILES ANTENNA CONFIGURATION TABLE: REMOVE 1.0x model ARGUS RVVPX310B2 PANEL details ARGUS RVVPX310B2 PANEL ARGUS RVVPX310B2 PANEL with ID A7 on sector - -&gt; Rules Applied: Remove Panel Antenna or tower mounted device -&gt; Match Reason: Mapped deterministically by rule: Remove Panel Antenna or tower mounted device | Statement: Table row under TELSTRA MOBILES ANTENNA CONFIGURATION TABLE: REMOVE 1.0x model ERICSSON AIR6488 PANEL details ERICSSON AIR6488 PANEL ERICSSON AIR6488 PANEL with ID A8 (OLD) on sector - -&gt; Rules Applied: Remove Panel Antenna or tower mounted device -&gt; Match Reason: Mapped deterministically by rule: Remove Panel Antenna or tower mounted device | Statement: Table row under TELSTRA MOBILES ANTENNA CONFIGURATION TABLE: REMOVE 1.0x model ARGUS RVVPX310.11B-T2H PANEL details ARGUS RVVPX310.11B-T2H PANEL ARGUS RVVPX310.11B-T2H PANEL with ID A9 (OLD) on sector - -&gt; Rules Applied: Remove Panel Antenna or tower mounted device -&gt; Match Reason: Mapped deterministically by rule: Remove Panel Antenna or tower mounted device | Statement: Table row under TELSTRA MOBILES ANTENNA CONFIGURATION TABLE: REMOVE 1.0x model ARGUS RVVPX310B2 PANEL details ARGUS RVVPX310B2 PANEL ARGUS RVVPX310B2 PANEL with ID A11 on sector - -&gt; Rules Applied: Remove Panel Antenna or tower mounted device -&gt; Match Reason: Mapped deterministically by rule: Remove Panel Antenna or tower mounted device | Statement: Table row under TELSTRA MOBILES ANTENNA CONFIGURATION TABLE: REMOVE 1.0x model ERICSSON AIR6488 PANEL details ERICSSON AIR6488 PANEL ERICSSON AIR6488 PANEL with ID A14 (OLD) on sector - -&gt; Rules Applied: Remove Panel Antenna or tower mounted device -&gt; Match Reason: Mapped deterministically by rule: Remove Panel Antenna or tower mounted device | Statement: Table row under TELSTRA MOBILES ANTENNA CONFIGURATION TABLE: REMOVE 1.0x model DELTEC MTPA890-V8-RM (SPARE) details DELTEC MTPA890-V8-RM (SPARE) DELTEC MTPA890-V8-RM (SPARE) with ID A2 on sector - -&gt; Rules Applied: Remove Panel Antenna or tower mounted device -&gt; Match Reason: Mapped deterministically by rule: Remove Panel Antenna or tower mounted device | Statement: Table row under TELSTRA MOBILES ANTENNA CONFIGURATION TABLE: REMOVE 1.0x model DELTEC MTPA890-V8-RM (SPARE) details DELTEC MTPA890-V8-RM (SPARE) DELTEC MTPA890-V8-RM (SPARE) with ID A6 on sector - -&gt; Rules Applied: Remove Panel Antenna or tower mounted device -&gt; Match Reason: Mapped deterministically by rule: Remove Panel Antenna or tower mounted device | Statement: Table row under TELSTRA MOBILES ANTENNA CONFIGURATION TABLE: REMOVE 1.0x model DELTEC MTPA890-V8-RM (SPARE) details DELTEC MTPA890-V8-RM (SPARE) DELTEC MTPA890-V8-RM (SPARE) with ID A10 on sector - -&gt; Rules Applied: Remove Panel Antenna or tower mounted device -&gt; Match Reason: Mapped deterministically by rule: Remove Panel Antenna or tower mounted device | Statement: Table row under TELSTRA MOBILES ANTENNA CONFIGURATION TABLE: REMOVE 1.0x model DELTEC MTPA890-V8-RM (SPARE) details DELTEC MTPA890-V8-RM (SPARE) DELTEC MTPA890-V8-RM (SPARE) with ID A12 on sector - -&gt; Rules Applied: Remove Panel Antenna or tower mounted device -&gt; Match Reason: Mapped deterministically by rule: Remove Panel Antenna or tower mounted device | Statement: EXISTING TELSTRA LTE700/NR850
/WCDMA850 RADIO 4480HP (B5/B28)
(3 OFF) TO BE RECOVERED AND
REPLACED WITH PROPOSED
TELSTRA LTE700/NR850 RADIO
4490HP (B28/B26) (3 OFF) &amp; 4490
ADAPTOR SHELFS (3 OFF) ALONG
WITH MOUNTING BRACKETS -&gt; Rules Applied: Rule R: Remote Radio Unit (RRU), Rule R: Remote Radio Unit (RRU) Removal -&gt; Match Reason: The requirement specifies the removal of a Radio 4480HP unit (Remote Radio Unit) with a quantity of 3. Catalog item R12513 exactly matches the action constraint 'REMOVE' and category constraint 'Remote Radio Unit (RRU)'.</t>
        </is>
      </c>
    </row>
    <row r="26" ht="26" customHeight="1">
      <c r="A26" s="13" t="inlineStr">
        <is>
          <t>W7520</t>
        </is>
      </c>
      <c r="B26" s="14" t="inlineStr">
        <is>
          <t>One panel Antenna</t>
        </is>
      </c>
      <c r="C26" s="15" t="inlineStr">
        <is>
          <t>INSTALL</t>
        </is>
      </c>
      <c r="D26" s="15" t="inlineStr">
        <is>
          <t>each</t>
        </is>
      </c>
      <c r="E26" s="16" t="n">
        <v>860</v>
      </c>
      <c r="F26" s="17" t="n">
        <v>31</v>
      </c>
      <c r="G26" s="18">
        <f>E26*F26</f>
        <v/>
      </c>
      <c r="H26" s="13" t="inlineStr">
        <is>
          <t>Statement: Table row under EQUIPMENT NOTES - PROJECT NO. NA25797.01: INSTALL 1.0x model FIBRE PATCH PANEL details TO BE INSTALLED IN PATHFINDER RACK AT RT/1/1 TO BE INSTALLED IN PATHFINDER RACK AT RT/1/1 with ID 21 on sector - -&gt; Rules Applied: One panel Antenna -&gt; Match Reason: Mapped deterministically by rule: One panel Antenna | Statement: Table row under EQUIPMENT NOTES - PROJECT NO. NA25797.01: INSTALL 1.0x model GPS SPLITTER details INSTALLED IN 45RU PATHFINDER RACK AT RT/1/1 INSTALLED IN 45RU PATHFINDER RACK AT RT/1/1 with ID 53 on sector - -&gt; Rules Applied: One panel Antenna -&gt; Match Reason: Mapped deterministically by rule: One panel Antenna | Statement: Table row under EQUIPMENT NOTES - PROJECT NO. NA25797.01: INSTALL 1.0x model KAELUS, DUAL BAND GNSS GPS ACTIVE ANT details KNAA-7005-1110 KNAA-7005-1110 with ID 57 on sector - -&gt; Rules Applied: One panel Antenna -&gt; Match Reason: Mapped deterministically by rule: One panel Antenna | Statement: Table row under EQUIPMENT NOTES - PROJECT NO. NA25797.01: INSTALL 1.0x model GPS WBT TOD CABLE details WBT R6000 TOD CABLE - 3M WBT R6000 TOD CABLE - 3M with ID 59 on sector - -&gt; Rules Applied: One panel Antenna -&gt; Match Reason: Mapped deterministically by rule: One panel Antenna | Statement: Table row under EQUIPMENT NOTES - PROJECT NO. NA25797.01: INSTALL 1.0x model GPS SYNC CABLE details RPM1136127/2000 RPM1136127/2000 with ID 60 on sector - -&gt; Rules Applied: One panel Antenna -&gt; Match Reason: Mapped deterministically by rule: One panel Antenna | Statement: Table row under TELSTRA MOBILES ANTENNA CONFIGURATION TABLE: INSTALL 1.0x model KAELUS F6RHEU01 PANEL 2705 x 470 x 178 (mm) details KAELUS F6RHEU01 PANEL 2705 x 470 x 178 (mm) KAELUS F6RHEU01 PANEL 2705 x 470 x 178 (mm) with ID A1 on sector S1: LTE700/NR850
S1: LTE700/NR850
S1: LTE1800/LTE2100/NR/LTE2600
S1: LTE1800/LTE2100/NR/LTE2600
S1: LTE1800/LTE2100/NR/LTE2600
S1: LTE1800/LTE2100/NR/LTE2600 -&gt; Rules Applied: One panel Antenna -&gt; Match Reason: Mapped deterministically by rule: One panel Antenna | Statement: Table row under TELSTRA MOBILES ANTENNA CONFIGURATION TABLE: INSTALL 1.0x model ERICSSON AIR3258 PANEL 717 x 408 x 189 (mm) details ERICSSON AIR3258 PANEL 717 x 408 x 189 (mm) ERICSSON AIR3258 PANEL 717 x 408 x 189 (mm) with ID A4 on sector S1: NR3600
S1: NR3600 -&gt; Rules Applied: One panel Antenna -&gt; Match Reason: Mapped deterministically by rule: One panel Antenna | Statement: Table row under TELSTRA MOBILES ANTENNA CONFIGURATION TABLE: INSTALL 1.0x model KAELUS F6RHEU01 PANEL 2705 x 470 x 178 (mm) details KAELUS F6RHEU01 PANEL 2705 x 470 x 178 (mm) KAELUS F6RHEU01 PANEL 2705 x 470 x 178 (mm) with ID A5 on sector S3: LTE700/NR850
S3: LTE700/NR850
S3: LTE1800/LTE2100/NR/LTE2600
S3: LTE1800/LTE2100/NR/LTE2600
S3: LTE1800/LTE2100/NR/LTE2600
S3: LTE1800/LTE2100/NR/LTE2600 -&gt; Rules Applied: One panel Antenna -&gt; Match Reason: Mapped deterministically by rule: One panel Antenna | Statement: Table row under TELSTRA MOBILES ANTENNA CONFIGURATION TABLE: INSTALL 1.0x model ERICSSON AIR3258 PANEL 717 x 408 x 189 (mm) details ERICSSON AIR3258 PANEL 717 x 408 x 189 (mm) ERICSSON AIR3258 PANEL 717 x 408 x 189 (mm) with ID A8 on sector S3: NR3600
S3: NR3600 -&gt; Rules Applied: One panel Antenna -&gt; Match Reason: Mapped deterministically by rule: One panel Antenna | Statement: Table row under TELSTRA MOBILES ANTENNA CONFIGURATION TABLE: INSTALL 1.0x model KAELUS F6RHEU01 PANEL 2705 x 470 x 178 (mm) details KAELUS F6RHEU01 PANEL 2705 x 470 x 178 (mm) KAELUS F6RHEU01 PANEL 2705 x 470 x 178 (mm) with ID A9 on sector S2: LTE700/NR850
S2: LTE700/NR850
S2: LTE1800/LTE2100/NR/LTE2600
S2: LTE1800/LTE2100/NR/LTE2600
S2: LTE1800/LTE2100/NR/LTE2600
S2: LTE1800/LTE2100/NR/LTE2600 -&gt; Rules Applied: One panel Antenna -&gt; Match Reason: Mapped deterministically by rule: One panel Antenna | Statement: Table row under TELSTRA MOBILES ANTENNA CONFIGURATION TABLE: INSTALL 1.0x model ERICSSON AIR3258 PANEL 717 x 408 x 189 (mm) details ERICSSON AIR3258 PANEL 717 x 408 x 189 (mm) ERICSSON AIR3258 PANEL 717 x 408 x 189 (mm) with ID A14 on sector S2: NR3600
S2: NR3600 -&gt; Rules Applied: One panel Antenna -&gt; Match Reason: Mapped deterministically by rule: One panel Antenna | Statement: Table row under MEMBER SCHEDULE (Part 1): INSTALL 2.0x model PROPOSED ANTENNA MOUNT Ø76.1x4.5Thk CHS, 2800mm LONG details   with ID AM1 on sector - -&gt; Rules Applied: One panel Antenna -&gt; Match Reason: Mapped deterministically by rule: One panel Antenna | Statement: Table row under MEMBER SCHEDULE (Part 2): INSTALL 8.0x model M16 U-BOLTS TO SUIT Ø76.1 CHS TO FIX PROPOSED ANTENNA MOUNT - AM1 TO PL6 (# REFER NOTE 4) details   with ID UB3 on sector - -&gt; Rules Applied: One panel Antenna -&gt; Match Reason: Mapped deterministically by rule: One panel Antenna | Statement: ANTENNA MOUNTS
TYPE: EXISTING &amp; PROPOSED TELSTRA
STEEL PIPES
COLOUR: GALVANISED FINISH
REFERENCE DRAWING: SHEETS T3-4
TO T3-12 &amp; T8-7 -&gt; Rules Applied: One panel Antenna -&gt; Match Reason: Mapped deterministically by rule: One panel Antenna | Statement: SERVICES LEGEND
OPTIC FIBRE ABOVE GROUND
OPTIC FIBRE BELOW GROUND
ABOVE GROUND ELECTRICAL SUPPLY
BELOW GROUND ELECTRICAL SUPPLY
GAS SUPPLY
HIGH VOLTAGE ELECTRICAL SUPPLY
WATER SUPPLY
SEWER LINE
STORM WATER
ABOVE GROUND FEEDER CABLES
BELOW GROUND FEEDER CABLES
DENOTES EXISTING TELSTRA ANTENNA SECTOR AS
SHOWN ON SHEET S1-1
DENOTES PROPOSED TELSTRA ANTENNA SECTOR
AS SHOWN ON SHEET S1-1 -&gt; Rules Applied: One panel Antenna -&gt; Match Reason: Mapped deterministically by rule: One panel Antenna | Statement: NOTE: WE ARE REUSING THE EXISTING FEEDER CABLES AS WE ARE INSTALLING PROPOSED ANTENNAS AT SAME LEVEL. BUILD CONTRACTOR NEED TO DO PIM TEST ON EXISTING FEEDER CABLES AND PROPOSING NEW FEEDER CABLES IF REQUIRED. -&gt; Rules Applied: One panel Antenna -&gt; Match Reason: Mapped deterministically by rule: One panel Antenna | Statement: PROPOSED SIGNS UV STABLE
STICKERS AND FIXED TO REAR #2
OFALL TELSTRA PANEL ANTENNAS -&gt; Rules Applied: One panel Antenna -&gt; Match Reason: Mapped deterministically by rule: One panel Antenna | Statement: PROPOSED SIGNS UV STABLE STICKERS AND FIXED TO REAR OFALL TELSTRA PANEL ANTENNAS -&gt; Rules Applied: One panel Antenna -&gt; Match Reason: Mapped deterministically by rule: One panel Antenna | Statement: PROPOSED SIGNS UV STABLE
STICKERS AND FIXED TO REAR OF #2
ALL TELSTRA PANEL ANTENNAS -&gt; Rules Applied: One panel Antenna -&gt; Match Reason: Mapped deterministically by rule: One panel Antenna | Statement: PROPOSED SIGNS UV STABLE
STICKERS AND FIXED TO REAR OF
ALL TELSTRA PANEL ANTENNAS -&gt; Rules Applied: One panel Antenna -&gt; Match Reason: Mapped deterministically by rule: One panel Antenna | Statement: NOTES:
1. EARTHING AND A.C. WIRING IAW AS3000, AS3015, &amp; OTHER RELEVANT DOCUMENTATION.
2. REFER TO MANUFACTURERS HAND BOOK FOR AC CONNECTIONS.
3. PANEL NUMBERING IN THE SUBRACK NUMBERED AS ENTERED IN STRUCTURE BUILDER/MITS.
4. CELLS TO BE NUMBERED FROM 1 AT THE POSITIVE END OF STRING.
5. BATTERY STRINGS TO BE NUMBERED AS SHOWN ABOVE.
6. BATTERY EXTENSION RACK (27480042) TO BE INSTALLED AS REQUIRED.
7. REFER MANUFACTURER'S HANDBOOK FOR INPUT BREAKER SIZE. MINIMUM 32 A, RECOMMENDED 50 A Th/Mag e.g. MGC60H OR Hy/Mag C2 e.g. CBI QF OR QY.
8. REFER MANUFACTURER'S HANDBOOK FOR CABLE SIZE. MINIMUM 6mm², RECOMMENDED 10mm². WHEN 50A CIRCUIT. BREAKERS ARE USED, CABLE TO BE 10mm² OR GREATER.
9. DC-DC CONVERTER MODULES TO BE ORDERED AS REQUIRED. -&gt; Rules Applied: One panel Antenna -&gt; Match Reason: Mapped deterministically by rule: One panel Antenna | Statement: NOTES:
1. FOR STANDARD CONSTRUCTION NOTES REFER TO TELSTRA STANDARD
DRAWING 017866P05.
2. P2072A SHELF ITEM HAS Ø19 HOLE. USE WASHER FOR OVERSIZED HOLES.
3. ANY DAMAGE TO STEEL GALVANISING TO BE REPAIRED WITH 2-COATS OF
ZINC-RICH PAINT.
4. BOUNDARY CHAIN TO BE YELLOW UV-RESISTANT PLASTIC. ENSURE CHAIN
IS LESS THAN 250mm.
5. POSTS TO HAVE 2m SPACING (MAX).
6. INSTALL FIXINGS TO UNISTRUT SPECIFICATION. -&gt; Rules Applied: One panel Antenna -&gt; Match Reason: Mapped deterministically by rule: One panel Antenna</t>
        </is>
      </c>
    </row>
    <row r="27" ht="26" customHeight="1">
      <c r="A27" s="7" t="inlineStr">
        <is>
          <t>W13360</t>
        </is>
      </c>
      <c r="B27" s="8" t="inlineStr">
        <is>
          <t>One panel Antenna - extra over</t>
        </is>
      </c>
      <c r="C27" s="9" t="inlineStr"/>
      <c r="D27" s="9" t="inlineStr">
        <is>
          <t>each</t>
        </is>
      </c>
      <c r="E27" s="10" t="n">
        <v>475</v>
      </c>
      <c r="F27" s="11" t="n">
        <v>0</v>
      </c>
      <c r="G27" s="12">
        <f>E27*F27</f>
        <v/>
      </c>
      <c r="H27" s="7" t="inlineStr"/>
    </row>
    <row r="28" ht="26" customHeight="1">
      <c r="A28" s="7" t="inlineStr"/>
      <c r="B28" s="8" t="inlineStr">
        <is>
          <t>One panel antenna (12 port )</t>
        </is>
      </c>
      <c r="C28" s="9" t="inlineStr"/>
      <c r="D28" s="9" t="inlineStr">
        <is>
          <t>each</t>
        </is>
      </c>
      <c r="E28" s="10" t="n">
        <v>1255</v>
      </c>
      <c r="F28" s="11" t="n">
        <v>0</v>
      </c>
      <c r="G28" s="12">
        <f>E28*F28</f>
        <v/>
      </c>
      <c r="H28" s="7" t="inlineStr"/>
    </row>
    <row r="29" ht="26" customHeight="1">
      <c r="A29" s="7" t="inlineStr">
        <is>
          <t>W13358</t>
        </is>
      </c>
      <c r="B29" s="8" t="inlineStr">
        <is>
          <t>One 5G AAU - first</t>
        </is>
      </c>
      <c r="C29" s="9" t="inlineStr"/>
      <c r="D29" s="9" t="inlineStr">
        <is>
          <t>each</t>
        </is>
      </c>
      <c r="E29" s="10" t="n">
        <v>1419</v>
      </c>
      <c r="F29" s="11" t="n">
        <v>0</v>
      </c>
      <c r="G29" s="12">
        <f>E29*F29</f>
        <v/>
      </c>
      <c r="H29" s="7" t="inlineStr"/>
    </row>
    <row r="30" ht="26" customHeight="1">
      <c r="A30" s="7" t="inlineStr">
        <is>
          <t>W13359</t>
        </is>
      </c>
      <c r="B30" s="8" t="inlineStr">
        <is>
          <t>One 5G AAU - extra over</t>
        </is>
      </c>
      <c r="C30" s="9" t="inlineStr"/>
      <c r="D30" s="9" t="inlineStr">
        <is>
          <t>each</t>
        </is>
      </c>
      <c r="E30" s="10" t="n">
        <v>735</v>
      </c>
      <c r="F30" s="11" t="n">
        <v>0</v>
      </c>
      <c r="G30" s="12">
        <f>E30*F30</f>
        <v/>
      </c>
      <c r="H30" s="7" t="inlineStr"/>
    </row>
    <row r="31" ht="26" customHeight="1">
      <c r="A31" s="13" t="inlineStr">
        <is>
          <t>W13178</t>
        </is>
      </c>
      <c r="B31" s="14" t="inlineStr">
        <is>
          <t>One Panel antenna relocation</t>
        </is>
      </c>
      <c r="C31" s="15" t="inlineStr">
        <is>
          <t>RELOCATE</t>
        </is>
      </c>
      <c r="D31" s="15" t="inlineStr">
        <is>
          <t>each</t>
        </is>
      </c>
      <c r="E31" s="16" t="n">
        <v>960</v>
      </c>
      <c r="F31" s="17" t="n">
        <v>2</v>
      </c>
      <c r="G31" s="18">
        <f>E31*F31</f>
        <v/>
      </c>
      <c r="H31" s="13" t="inlineStr">
        <is>
          <t>Statement: PROPOSED TELSTRA LTE700/NR850/
LTE1800/LTE2100/NR/LTE2600 PANEL
ANTENNA (1 OFF A5) TO BE INSTALLED ON
EXISTING RELOCATED MOUNT. REFER TO
SHEETS T3-4 TO T3-12 FOR DETAILS -&gt; Rules Applied: One Panel antenna relocation -&gt; Match Reason: Mapped deterministically by rule: One Panel antenna relocation | Statement: EXISTING TELSTRA R6675 (1 OFF)
TO BE RELOCATED TO RT/1/1/29 -&gt; Rules Applied: Rule R: Remote Radio Unit (RRU) Relocation -&gt; Match Reason: The requirement specifies the relocation of a Remote Radio Unit (RRU), matching the category 'Remote Radio Unit (RRU)' and the action 'Relocate'. Item W13178 directly corresponds to 'Remote Radio Unit (RRU) Relocation' in the pricing catalog.</t>
        </is>
      </c>
    </row>
    <row r="32" ht="26" customHeight="1">
      <c r="A32" s="7" t="inlineStr">
        <is>
          <t>W7519</t>
        </is>
      </c>
      <c r="B32" s="8" t="inlineStr">
        <is>
          <t>OMNI Antenna</t>
        </is>
      </c>
      <c r="C32" s="9" t="inlineStr"/>
      <c r="D32" s="9" t="inlineStr">
        <is>
          <t>each</t>
        </is>
      </c>
      <c r="E32" s="10" t="n">
        <v>0</v>
      </c>
      <c r="F32" s="11" t="n">
        <v>0</v>
      </c>
      <c r="G32" s="12">
        <f>E32*F32</f>
        <v/>
      </c>
      <c r="H32" s="7" t="inlineStr"/>
    </row>
    <row r="33" ht="26" customHeight="1">
      <c r="A33" s="13" t="inlineStr"/>
      <c r="B33" s="14" t="inlineStr">
        <is>
          <t>Recover GPS system</t>
        </is>
      </c>
      <c r="C33" s="15" t="inlineStr">
        <is>
          <t>REMOVE</t>
        </is>
      </c>
      <c r="D33" s="15" t="inlineStr"/>
      <c r="E33" s="16" t="n">
        <v>0</v>
      </c>
      <c r="F33" s="17" t="n">
        <v>3</v>
      </c>
      <c r="G33" s="18">
        <f>E33*F33</f>
        <v/>
      </c>
      <c r="H33" s="13" t="inlineStr">
        <is>
          <t>Statement: Table row under EQUIPMENT NOTES - PROJECT NO. NA25797.01: REMOVE 2.0x model GPS RECEIVER details INSTALLED IN 45RU PATHFINDER RACK AT RT/1/1 INSTALLED IN 45RU PATHFINDER RACK AT RT/1/1 with ID 54 on sector - -&gt; Rules Applied: Recover GPS system -&gt; Match Reason: Mapped deterministically by rule: Recover GPS system | Statement: AND REUSED. EXISTING TELSTRA FIBRE MGMT TRAY (1 OFF) &amp; FIBRE PATCH PANEL (1 OFF) TO BE REUSED. EXISTING TELSTRA GPS SPLITTER (1 OFF), COMBINERS (3 OFF) &amp; RBS6202 (1 OFF) WITH RUS02 (B28B) (6 OFF) TO BE DISCONNECTED AND MAKE AS SPARE. EXISTING TELSTRA R503 (2 OFF), DUW 30 01 (1 OFF), BB6630 (3 OFF), FIBRE MGMT TRAY (1 OFF) &amp; GPS RECEIVER UNITS (2 OFF) TO BE RECOVERED -&gt; Rules Applied: Recover GPS system -&gt; Match Reason: Mapped deterministically by rule: Recover GPS system</t>
        </is>
      </c>
    </row>
    <row r="34" ht="26" customHeight="1">
      <c r="A34" s="13" t="inlineStr">
        <is>
          <t>W12804</t>
        </is>
      </c>
      <c r="B34" s="14" t="inlineStr">
        <is>
          <t>GPS system</t>
        </is>
      </c>
      <c r="C34" s="15" t="inlineStr">
        <is>
          <t>INSTALL, REPLACE, RETAIN</t>
        </is>
      </c>
      <c r="D34" s="15" t="inlineStr">
        <is>
          <t>each</t>
        </is>
      </c>
      <c r="E34" s="16" t="n">
        <v>368</v>
      </c>
      <c r="F34" s="17" t="n">
        <v>5</v>
      </c>
      <c r="G34" s="18">
        <f>E34*F34</f>
        <v/>
      </c>
      <c r="H34" s="13" t="inlineStr">
        <is>
          <t>Statement: Table row under EQUIPMENT NOTES - PROJECT NO. NA25797.01: INSTALL 1.0x model GPS RECEIVER UNIT details ERICSSION GRU 05 01 RECEIVER NCD90189/1 ERICSSION GRU 05 01 RECEIVER NCD90189/1 with ID 55 on sector - -&gt; Rules Applied: GPS system -&gt; Match Reason: Mapped deterministically by rule: GPS system | Statement: E.L. 24.40m (±100mm) R.L. 55.48m A.H.D
BASE OF PROPOSED TELSTRA TELSTRA KA-7005-1110 GPS ANTENNA (1 OFF A15) -&gt; Rules Applied: GPS system -&gt; Match Reason: Mapped deterministically by rule: GPS system | Statement: EXISTING TELSTRA 45RU PATHFINDER RACK (1 OFF) TO BE REUSED TO HOST PROPOSED TELSTRA LTE700/NR850/LTE1800/LTE2100/NR/LTE2600/NR3600 RP6672 (1 OFF), SLIDE OUT FIBRE MANAGEMENT TRAY (1 OFF), DCDU (1 OFF), W&amp;B HYBRID CABLE MGMT TRAYS (3 OFF) &amp; GPS RECEIVER UNIT GRU 05 01 (1 OFF). EXISTING TELSTRA R6675 (1 OFF) TO BE RELOCATED FROM RT/1/1/6 TO RT/1/1/29, SLIDEOUT FIBRE MANAGEMENT TRAY (1 OFF) TO BE RELOCATED FROM RT/1/1/29 TO RT/1/1/30 -&gt; Rules Applied: Rule R: GPS system -&gt; Match Reason: The requirement constraints specify category 'GPS system' and action 'Install' for the GPS receiver unit. Candidate W12804 matches the 'GPS system' category and description. | Statement: EXISTING TELSTRA LTE700 GPS ANTENNA (1 OFF A15) TO BE RECOVERED AND REPLACED WITH PROPOSED TELSTRA KA-7005-1110 GPS ANTENNA (1 OFF A15) TO BE INSTALLED USING STANDARD MOUNT -&gt; Rules Applied: Rule R: GPS system -&gt; Match Reason: The requirement specifies a GPS Antenna replacement matching the GPS system category and entity name, and code W12804 corresponds directly to 'GPS system' in the catalog under Antennas, RRUs, TMDs. | Statement: EXISTING TELSTRA GPS RECEIVER
UNITS (2 OFF) TO BE RECOVERED AND
REPLACED WITH PROPOSED TELSTRA
GRU 05 01 GPS RECEIVER UNIT (1 OFF) -&gt; Rules Applied: Rule R: GPS system -&gt; Match Reason: The item matches the category constraint 'GPS System' and directly corresponds to the GPS receiver unit replacement requirement under the Antennas, RRUs, TMDs catalog section.</t>
        </is>
      </c>
    </row>
    <row r="35" ht="26" customHeight="1">
      <c r="A35" s="7" t="inlineStr">
        <is>
          <t>W13175</t>
        </is>
      </c>
      <c r="B35" s="8" t="inlineStr">
        <is>
          <t>Colour match hardware/antennas</t>
        </is>
      </c>
      <c r="C35" s="9" t="inlineStr"/>
      <c r="D35" s="9" t="inlineStr">
        <is>
          <t>each</t>
        </is>
      </c>
      <c r="E35" s="10" t="n">
        <v>178.75</v>
      </c>
      <c r="F35" s="11" t="n">
        <v>0</v>
      </c>
      <c r="G35" s="12">
        <f>E35*F35</f>
        <v/>
      </c>
      <c r="H35" s="7" t="inlineStr"/>
    </row>
    <row r="36" ht="26" customHeight="1">
      <c r="A36" s="7" t="inlineStr"/>
      <c r="B36" s="8" t="inlineStr">
        <is>
          <t>External Combiner</t>
        </is>
      </c>
      <c r="C36" s="9" t="inlineStr"/>
      <c r="D36" s="9" t="inlineStr">
        <is>
          <t>each</t>
        </is>
      </c>
      <c r="E36" s="10" t="n">
        <v>422.5</v>
      </c>
      <c r="F36" s="11" t="n">
        <v>0</v>
      </c>
      <c r="G36" s="12">
        <f>E36*F36</f>
        <v/>
      </c>
      <c r="H36" s="7" t="inlineStr"/>
    </row>
    <row r="37" ht="26" customHeight="1">
      <c r="A37" s="13" t="inlineStr">
        <is>
          <t>W7893</t>
        </is>
      </c>
      <c r="B37" s="14" t="inlineStr">
        <is>
          <t>Tower Mounted Device (TMA, COM,FILTER)</t>
        </is>
      </c>
      <c r="C37" s="15" t="inlineStr">
        <is>
          <t>INSTALL, REPLACE</t>
        </is>
      </c>
      <c r="D37" s="15" t="inlineStr">
        <is>
          <t>each</t>
        </is>
      </c>
      <c r="E37" s="16" t="n">
        <v>353</v>
      </c>
      <c r="F37" s="17" t="n">
        <v>16</v>
      </c>
      <c r="G37" s="18">
        <f>E37*F37</f>
        <v/>
      </c>
      <c r="H37" s="13" t="inlineStr">
        <is>
          <t>Statement: Table row under EQUIPMENT NOTES - PROJECT NO. NA25797.01: INSTALL 3.0x model KAELUS QUAD FILTERS (LTE700/NR850) details KA-6035 KA-6035 with ID 39 on sector - -&gt; Rules Applied: Tower Mounted Device (TMA, COM, FILTER) -&gt; Match Reason: Mapped deterministically by rule: Tower Mounted Device (TMA, COM, FILTER) | Statement: Table row under EQUIPMENT NOTES - PROJECT NO. NA25797.01: INSTALL 1.0x model KAELUS TWIN COMBINER details DBC0086F1V1-1 INSTALLED IN PATHFINDER RACK AT RT/1/1 DBC0086F1V1-1 INSTALLED IN PATHFINDER RACK AT RT/1/1 with ID 40 on sector - -&gt; Rules Applied: Tower Mounted Device (TMA, COM, FILTER) -&gt; Match Reason: Mapped deterministically by rule: Tower Mounted Device (TMA, COM, FILTER) | Statement: Table row under EQUIPMENT NOTES - PROJECT NO. NA25797.01: INSTALL 1.0x model COOLING FAN FILTER details VAK00019 VAK00019 with ID 64 on sector - -&gt; Rules Applied: Tower Mounted Device (TMA, COM, FILTER) -&gt; Match Reason: Mapped deterministically by rule: Tower Mounted Device (TMA, COM, FILTER) | Statement: E.L. 25.2m (±100mm) R.L. 56.28m A.H.D
C/L PROPOSED TELSTRA LTE700/NR850 TMA (1 OFF) @ S3 -&gt; Rules Applied: Tower Mounted Device (TMA, COM, FILTER) -&gt; Match Reason: Mapped deterministically by rule: Tower Mounted Device (TMA, COM, FILTER) | Statement: E.L. 25.9m (±100mm) R.L. 56.98m A.H.D
C/L PROPOSED TELSTRA LTE700/NR850 TMA (1 OFF) @ S2 -&gt; Rules Applied: Tower Mounted Device (TMA, COM, FILTER) -&gt; Match Reason: Mapped deterministically by rule: Tower Mounted Device (TMA, COM, FILTER) | Statement: E.L. 25.2m (±100mm) R.L. 56.38m A.H.D
C/L PROPOSED TELSTRA LTE700/NR850 TMA'S (2 OFF) @ S1 &amp; S3 -&gt; Rules Applied: Tower Mounted Device (TMA, COM, FILTER) -&gt; Match Reason: Mapped deterministically by rule: Tower Mounted Device (TMA, COM, FILTER) | Statement: C/L PROPOSED TELSTRA LTE700/NR850 TMA (1 OFF) @ S2 E.L. 24.40m (±100mm) R.L. 55.48m A.H.D
BASE OF PROPOSED TELSTRA TELSTRA KA-7005-1110 GPS ANTENNA (1 OFF A15) -&gt; Rules Applied: Tower Mounted Device (TMA, COM, FILTER) -&gt; Match Reason: Mapped deterministically by rule: Tower Mounted Device (TMA, COM, FILTER) | Statement: EXISTING TELSTRA BSF0020F 900UL-
FILTERS (6 OFF) TO BE RECOVERED AND
REPLACED WITH PROPOSED TELSTRA
KA-6035 QUAD FILTERS (3 OFF) -&gt; Rules Applied: Rule R: Tower Mounted Device (TMA, COM, FILTER) -&gt; Instruction: "Separate scope from antenna" -&gt; Match Reason: The requirement constraint specifies a category of 'Tower Mounted Device' for an entity of type 'Filter', matching the catalog item 'Tower Mounted Device (TMA, COM,FILTER)' under the Antennas, RRUs, TMDs category.</t>
        </is>
      </c>
    </row>
    <row r="38" ht="26" customHeight="1">
      <c r="A38" s="7" t="inlineStr">
        <is>
          <t>R12513</t>
        </is>
      </c>
      <c r="B38" s="8" t="inlineStr">
        <is>
          <t>Tower Mounted Device (TMA, COM,FILTER)  Removal</t>
        </is>
      </c>
      <c r="C38" s="9" t="inlineStr"/>
      <c r="D38" s="9" t="inlineStr">
        <is>
          <t>each</t>
        </is>
      </c>
      <c r="E38" s="10" t="n">
        <v>292.5</v>
      </c>
      <c r="F38" s="11" t="n">
        <v>0</v>
      </c>
      <c r="G38" s="12">
        <f>E38*F38</f>
        <v/>
      </c>
      <c r="H38" s="7" t="inlineStr"/>
    </row>
    <row r="39" ht="26" customHeight="1">
      <c r="A39" s="7" t="inlineStr">
        <is>
          <t>W13178</t>
        </is>
      </c>
      <c r="B39" s="8" t="inlineStr">
        <is>
          <t>Tower Mounted Device (TMA, COM,FILTER)  Relocation</t>
        </is>
      </c>
      <c r="C39" s="9" t="inlineStr"/>
      <c r="D39" s="9" t="inlineStr">
        <is>
          <t>each</t>
        </is>
      </c>
      <c r="E39" s="10" t="n">
        <v>507</v>
      </c>
      <c r="F39" s="11" t="n">
        <v>0</v>
      </c>
      <c r="G39" s="12">
        <f>E39*F39</f>
        <v/>
      </c>
      <c r="H39" s="7" t="inlineStr"/>
    </row>
    <row r="40" ht="26" customHeight="1">
      <c r="A40" s="13" t="inlineStr">
        <is>
          <t>W12252</t>
        </is>
      </c>
      <c r="B40" s="14" t="inlineStr">
        <is>
          <t>Remote Radio Unit (RRU)</t>
        </is>
      </c>
      <c r="C40" s="15" t="inlineStr">
        <is>
          <t>INSTALL</t>
        </is>
      </c>
      <c r="D40" s="15" t="inlineStr">
        <is>
          <t>each</t>
        </is>
      </c>
      <c r="E40" s="16" t="n">
        <v>812.5</v>
      </c>
      <c r="F40" s="17" t="n">
        <v>13</v>
      </c>
      <c r="G40" s="18">
        <f>E40*F40</f>
        <v/>
      </c>
      <c r="H40" s="13" t="inlineStr">
        <is>
          <t>Statement: Table row under EQUIPMENT NOTES - PROJECT NO. NA25797.01: INSTALL 1.0x model ERICSSON RP6672 (LTE700/NR850/LTE1800/LTE2100/NR/LTE2600/NR3600) details TO BE INSTALLED IN PATHFINDER RACK AT RT/1/1 TO BE INSTALLED IN PATHFINDER RACK AT RT/1/1 with ID 16 on sector - -&gt; Rules Applied: Rule R: Remote Radio Unit (RRU) -&gt; Match Reason: The requirement constraint specifies installing a Remote Radio Unit (RRU) model ERICSSON RP6672. Candidate W12252 corresponds precisely to the 'Remote Radio Unit (RRU)' item under the Antennas, RRUs, TMDs category and matches the INSTALL action constraint. | Statement: Table row under EQUIPMENT NOTES - PROJECT NO. NA25797.01: INSTALL 1.0x model ERICSSON RUS 02 (B28B) details INSTALLED IN RBS6202 AT RT/1/1 INSTALLED IN RBS6202 AT RT/1/1 with ID 18 on sector - -&gt; Rules Applied: Remote Radio Unit (RRU) -&gt; Match Reason: Mapped deterministically by rule: Remote Radio Unit (RRU) | Statement: PROPOSED TELSTRA LTE1800/LTE2100/LTE2600
RADIO 4485 B3/B1/B7 (2 OFF BELOW) TO BE INSTALLED
USING SEF901377/5 RADIO MOUNTING RAILS ON
EXISTING MOUNTS -&gt; Rules Applied: Remote Radio Unit (RRU) -&gt; Match Reason: Mapped deterministically by rule: Remote Radio Unit (RRU) | Statement: PROPOSED TELSTRA LTE1800/LTE2100/NR/LTE2600
RADIO 4485 B3/B1/B7 (1 OFF BELOW) TO BE
INSTALLED USING SEF901377/5 RADIO MOUNTING
RAILS ON PROPOSED MOUNT -&gt; Rules Applied: Remote Radio Unit (RRU) -&gt; Match Reason: Mapped deterministically by rule: Remote Radio Unit (RRU) | Statement: E.L. 25.1m (±100mm) R.L. 56.18m A.H.D
C/L PROPOSED TELSTRA LTE1800/LTE2100/NR/LTE2600 RADIO 4485 B3/B1/B7 (1 OFF) @ S3 -&gt; Rules Applied: Remote Radio Unit (RRU) -&gt; Match Reason: Mapped deterministically by rule: Remote Radio Unit (RRU) | Statement: E.L. 25.1m (±100mm) R.L. 56.28m A.H.D
C/L PROPOSED TELSTRA LTE1800/LTE2100/NR/LTE2600 RADIO 4485 B3/B1/B7 (3 OFF) @ S1, S2 &amp; S3 -&gt; Rules Applied: Remote Radio Unit (RRU) -&gt; Match Reason: Mapped deterministically by rule: Remote Radio Unit (RRU) | Statement: E.L. 25.1m (±100mm) R.L. 56.28m A.H.D
C/L PROPOSED TELSTRA LTE1800/LTE2100/NR/LTE2600 RADIO 4485 B3/B1/B7 (3 OFF) @ S1, S2 &amp; S3
C/L PROPOSED TELSTRA LTE700/NR850 TMA (1 OFF) @ S2 -&gt; Rules Applied: Remote Radio Unit (RRU) -&gt; Match Reason: Mapped deterministically by rule: Remote Radio Unit (RRU) | Statement: PROPOSED TELSTRA LTE700/NR850/LTE1800/LTE2100
/NR/LTE2600/NR3600 RP6672 (1 OFF), SLIDE OUT
FIBRE MANAGEMENT TRAY (1 OFF) &amp; DCDU (1 OFF).
EXISTING TELSTRA R6675 (1 OFF) TO BE RELOCATED
FROM RT/1/1/6 TO RT/1/1/29 &amp; SLIDEOUT FIBRE
MANAGEMENT TRAY (1 OFF) TO BE RELOCATED
FROM RT/1/1/29 TO RT/1/1/30 &amp; REUSED -&gt; Rules Applied: Rule R: Remote Radio Unit (RRU) -&gt; Match Reason: The requirement is to install a Remote Radio Unit (RP6672), matching the category constraint 'Remote Radio Unit' and action 'INSTALL'. Candidate W12252 'Remote Radio Unit (RRU)' is the correct installation item for an RRU.</t>
        </is>
      </c>
    </row>
    <row r="41" ht="26" customHeight="1">
      <c r="A41" s="13" t="inlineStr">
        <is>
          <t>R12513</t>
        </is>
      </c>
      <c r="B41" s="14" t="inlineStr">
        <is>
          <t>Remote Radio Unit (RRU) Removal</t>
        </is>
      </c>
      <c r="C41" s="15" t="inlineStr">
        <is>
          <t>REMOVE</t>
        </is>
      </c>
      <c r="D41" s="15" t="inlineStr">
        <is>
          <t>each</t>
        </is>
      </c>
      <c r="E41" s="16" t="n">
        <v>292.5</v>
      </c>
      <c r="F41" s="17" t="n">
        <v>6</v>
      </c>
      <c r="G41" s="18">
        <f>E41*F41</f>
        <v/>
      </c>
      <c r="H41" s="13" t="inlineStr">
        <is>
          <t>Statement: Table row under EQUIPMENT NOTES - PROJECT NO. NA25797.01: REMOVE 3.0x model ERICSSON RRUS 32 B3 (LTE1800) details 431 (W) x 182 (D) x 500mm (H) NATURAL COLOUR 431 (W) x 182 (D) x 500mm (H) NATURAL COLOUR with ID 31 on sector - -&gt; Rules Applied: Remote Radio Unit (RRU) Removal -&gt; Match Reason: Mapped deterministically by rule: Remote Radio Unit (RRU) Removal | Statement: EXISTING TELSTRA DECON RGL-091 RACK (1 OFF) TO BE REUSED TO HOST PROPOSED TELSTRA KA-6035 QUAD FILTERS (3 OFF), LTE700/NR850 RADIO 4490HP B28/B26 (3 OFF) &amp; 4490 ADAPTOR SHELFS (3 OFF) ALONG WITH MOUNTING BRACKETS. EXISTING TELSTRA KEREM A100 PDP (1 OFF) TO BE REUSED. EXISTING TELSTRA LTE700/NR850/WCDMA850 RADIO 4480HP (B5/B28) (3 OFF) &amp; TWIN BANDSTOP FILTERS (6 OFF) TO BE RECOVERED -&gt; Rules Applied: Remote Radio Unit (RRU) Removal -&gt; Match Reason: Mapped deterministically by rule: Remote Radio Unit (RRU) Removal | Statement: ORDER DRWN CHKD AMENDMENT DATE EXAM APPD ISS
NA17236.01 MS LY AS BUILT - 30060257W0071ERIC - RRU AND LTE2600 UPDATE KSK CF 09.05.17 3
2GD-40893-01 RH LY 2GDECOMMISSION - 30062968W0003CYI KSK DG 28.06.17 4
NA21231.01 SH JG FOR CONSTRUCTION 30084274 WO267 5G NR3600 MWM MWM 30.04.20 5
NA21231.01 UH RM AS BUILT - 30084274 WO315 - NR3600 DEG DEG 11.08.20 6
NA23527.01 LB WR AS BUILT - 30092852WO195ERIC - M700/NR850/DSS26 PD DEG 09.02.22 7
NA25797.01 RS RT FOR CONSTRUCTION - 80005689WO540CYI - LTE2100 MB MB 21.05.26 8 -&gt; Rules Applied: Remote Radio Unit (RRU) Removal -&gt; Match Reason: Mapped deterministically by rule: Remote Radio Unit (RRU) Removal | Statement: EXISTING TELSTRA RBS6202 (1 OFF)
WITH RUS02 (B28B) (6 OFF) TO BE
DISCONNECTED AND MAKE AS SPARE.
EXISTING TELSTRA R503 (2 OFF) &amp;
DUW 30 01 (1 OFF) TO BE RECOVERED -&gt; Rules Applied: Remote Radio Unit (RRU) Removal -&gt; Match Reason: Mapped deterministically by rule: Remote Radio Unit (RRU) Removal</t>
        </is>
      </c>
    </row>
    <row r="42" ht="26" customHeight="1">
      <c r="A42" s="13" t="inlineStr">
        <is>
          <t>W13178</t>
        </is>
      </c>
      <c r="B42" s="14" t="inlineStr">
        <is>
          <t>Remote Radio Unit (RRU) Relocation</t>
        </is>
      </c>
      <c r="C42" s="15" t="inlineStr">
        <is>
          <t>RELOCATE</t>
        </is>
      </c>
      <c r="D42" s="15" t="inlineStr">
        <is>
          <t>each</t>
        </is>
      </c>
      <c r="E42" s="16" t="n">
        <v>507</v>
      </c>
      <c r="F42" s="17" t="n">
        <v>1</v>
      </c>
      <c r="G42" s="18">
        <f>E42*F42</f>
        <v/>
      </c>
      <c r="H42" s="13" t="inlineStr">
        <is>
          <t>Statement: EXISTING TELSTRA W&amp;B RRU INTERFACE JUNCTION
BOX (1 OFF) TO BE RELOCATED AND REUSED FOR
LTE1800/LTE2100/NR/LTE2600/NR3600 -&gt; Rules Applied: Remote Radio Unit (RRU) Relocation -&gt; Match Reason: Mapped deterministically by rule: Remote Radio Unit (RRU) Relocation</t>
        </is>
      </c>
    </row>
    <row r="43" ht="26" customHeight="1">
      <c r="A43" s="7" t="inlineStr"/>
      <c r="B43" s="8" t="inlineStr">
        <is>
          <t>Reconfigure L1800 RRUs to "B"Config</t>
        </is>
      </c>
      <c r="C43" s="9" t="inlineStr"/>
      <c r="D43" s="9" t="inlineStr">
        <is>
          <t>site</t>
        </is>
      </c>
      <c r="E43" s="10" t="n">
        <v>416</v>
      </c>
      <c r="F43" s="11" t="n">
        <v>0</v>
      </c>
      <c r="G43" s="12">
        <f>E43*F43</f>
        <v/>
      </c>
      <c r="H43" s="7" t="inlineStr"/>
    </row>
    <row r="44" ht="26" customHeight="1">
      <c r="A44" s="7" t="inlineStr">
        <is>
          <t>W12253</t>
        </is>
      </c>
      <c r="B44" s="8" t="inlineStr">
        <is>
          <t>RRU x 1 - Extra over W12252 for each additional</t>
        </is>
      </c>
      <c r="C44" s="9" t="inlineStr"/>
      <c r="D44" s="9" t="inlineStr">
        <is>
          <t>each</t>
        </is>
      </c>
      <c r="E44" s="10" t="n">
        <v>525.85</v>
      </c>
      <c r="F44" s="11" t="n">
        <v>0</v>
      </c>
      <c r="G44" s="12">
        <f>E44*F44</f>
        <v/>
      </c>
      <c r="H44" s="7" t="inlineStr"/>
    </row>
    <row r="45" ht="26" customHeight="1">
      <c r="A45" s="7" t="inlineStr">
        <is>
          <t>W13174</t>
        </is>
      </c>
      <c r="B45" s="8" t="inlineStr">
        <is>
          <t>External RF tails up to 5m</t>
        </is>
      </c>
      <c r="C45" s="9" t="inlineStr"/>
      <c r="D45" s="9" t="inlineStr">
        <is>
          <t>each</t>
        </is>
      </c>
      <c r="E45" s="10" t="n">
        <v>103.35</v>
      </c>
      <c r="F45" s="11" t="n">
        <v>0</v>
      </c>
      <c r="G45" s="12">
        <f>E45*F45</f>
        <v/>
      </c>
      <c r="H45" s="7" t="inlineStr"/>
    </row>
    <row r="46" ht="26" customHeight="1">
      <c r="A46" s="7" t="inlineStr"/>
      <c r="B46" s="8" t="inlineStr">
        <is>
          <t>GPS antenna and receiver replacement</t>
        </is>
      </c>
      <c r="C46" s="9" t="inlineStr"/>
      <c r="D46" s="9" t="inlineStr">
        <is>
          <t>Each</t>
        </is>
      </c>
      <c r="E46" s="10" t="n">
        <v>460</v>
      </c>
      <c r="F46" s="11" t="n">
        <v>0</v>
      </c>
      <c r="G46" s="12">
        <f>E46*F46</f>
        <v/>
      </c>
      <c r="H46" s="7" t="inlineStr"/>
    </row>
    <row r="47" ht="24" customHeight="1">
      <c r="A47" s="5" t="inlineStr">
        <is>
          <t>FEEDERS AND HYBRIDS - STRUCTURE (EX PLANT, INC TESTING, FIM)</t>
        </is>
      </c>
      <c r="B47" s="6" t="n"/>
      <c r="C47" s="6" t="n"/>
      <c r="D47" s="6" t="n"/>
      <c r="E47" s="6" t="n"/>
      <c r="F47" s="6" t="n"/>
      <c r="G47" s="6" t="n"/>
      <c r="H47" s="6" t="n"/>
    </row>
    <row r="48" ht="26" customHeight="1">
      <c r="A48" s="7" t="inlineStr">
        <is>
          <t>R12838</t>
        </is>
      </c>
      <c r="B48" s="8" t="inlineStr">
        <is>
          <t>Recover existing Hydridflex or feeder</t>
        </is>
      </c>
      <c r="C48" s="9" t="inlineStr"/>
      <c r="D48" s="9" t="inlineStr"/>
      <c r="E48" s="10" t="n">
        <v>9.945</v>
      </c>
      <c r="F48" s="11" t="n">
        <v>0</v>
      </c>
      <c r="G48" s="12">
        <f>E48*F48</f>
        <v/>
      </c>
      <c r="H48" s="7" t="inlineStr"/>
    </row>
    <row r="49" ht="40" customHeight="1">
      <c r="A49" s="7" t="inlineStr">
        <is>
          <t>W12831</t>
        </is>
      </c>
      <c r="B49" s="8" t="inlineStr">
        <is>
          <t>1 X Hybrid Cable On A 15m- 75m Structure (Up To 90m Per Cable) - First</t>
        </is>
      </c>
      <c r="C49" s="9" t="inlineStr"/>
      <c r="D49" s="9" t="inlineStr"/>
      <c r="E49" s="10" t="n">
        <v>8024.733020275685</v>
      </c>
      <c r="F49" s="11" t="n">
        <v>0</v>
      </c>
      <c r="G49" s="12">
        <f>E49*F49</f>
        <v/>
      </c>
      <c r="H49" s="7" t="inlineStr"/>
    </row>
    <row r="50" ht="54" customHeight="1">
      <c r="A50" s="7" t="inlineStr">
        <is>
          <t>W12834</t>
        </is>
      </c>
      <c r="B50" s="8" t="inlineStr">
        <is>
          <t>Additional Hybrid cable on a 15m- 75m Structure Extra Over W12831 for Each additional Hybrid cable x 1 (Up to 90m per cable)</t>
        </is>
      </c>
      <c r="C50" s="9" t="inlineStr"/>
      <c r="D50" s="9" t="inlineStr"/>
      <c r="E50" s="10" t="n">
        <v>3931.659381142847</v>
      </c>
      <c r="F50" s="11" t="n">
        <v>0</v>
      </c>
      <c r="G50" s="12">
        <f>E50*F50</f>
        <v/>
      </c>
      <c r="H50" s="7" t="inlineStr"/>
    </row>
    <row r="51" ht="40" customHeight="1">
      <c r="A51" s="7" t="inlineStr">
        <is>
          <t>W12835</t>
        </is>
      </c>
      <c r="B51" s="8" t="inlineStr">
        <is>
          <t>Additional Hybrid Cable Per Meter - Extra Over W12831 And W12834 For Additional Increment Per Lineal Metre</t>
        </is>
      </c>
      <c r="C51" s="9" t="inlineStr"/>
      <c r="D51" s="9" t="inlineStr"/>
      <c r="E51" s="10" t="n">
        <v>163.9899765015812</v>
      </c>
      <c r="F51" s="11" t="n">
        <v>0</v>
      </c>
      <c r="G51" s="12">
        <f>E51*F51</f>
        <v/>
      </c>
      <c r="H51" s="7" t="inlineStr"/>
    </row>
    <row r="52" ht="26" customHeight="1">
      <c r="A52" s="7" t="inlineStr">
        <is>
          <t>W12816</t>
        </is>
      </c>
      <c r="B52" s="8" t="inlineStr">
        <is>
          <t>Feeder - 15m  Structure - ½” Feeder Cable x 6 (three pair)</t>
        </is>
      </c>
      <c r="C52" s="9" t="inlineStr"/>
      <c r="D52" s="9" t="inlineStr"/>
      <c r="E52" s="10" t="n">
        <v>3503.5</v>
      </c>
      <c r="F52" s="11" t="n">
        <v>0</v>
      </c>
      <c r="G52" s="12">
        <f>E52*F52</f>
        <v/>
      </c>
      <c r="H52" s="7" t="inlineStr"/>
    </row>
    <row r="53" ht="26" customHeight="1">
      <c r="A53" s="7" t="inlineStr">
        <is>
          <t>W12818</t>
        </is>
      </c>
      <c r="B53" s="8" t="inlineStr">
        <is>
          <t>Feeder - 15m  Structure - ⅞ “ Feeder Cable x 2 (one pair)</t>
        </is>
      </c>
      <c r="C53" s="9" t="inlineStr"/>
      <c r="D53" s="9" t="inlineStr"/>
      <c r="E53" s="10" t="n">
        <v>2119</v>
      </c>
      <c r="F53" s="11" t="n">
        <v>0</v>
      </c>
      <c r="G53" s="12">
        <f>E53*F53</f>
        <v/>
      </c>
      <c r="H53" s="7" t="inlineStr"/>
    </row>
    <row r="54" ht="26" customHeight="1">
      <c r="A54" s="7" t="inlineStr">
        <is>
          <t>W12819</t>
        </is>
      </c>
      <c r="B54" s="8" t="inlineStr">
        <is>
          <t>Feeder - 15m  Structure - ⅞ “ Feeder Cable x 6 (three pair)</t>
        </is>
      </c>
      <c r="C54" s="9" t="inlineStr"/>
      <c r="D54" s="9" t="inlineStr"/>
      <c r="E54" s="10" t="n">
        <v>5414.5</v>
      </c>
      <c r="F54" s="11" t="n">
        <v>0</v>
      </c>
      <c r="G54" s="12">
        <f>E54*F54</f>
        <v/>
      </c>
      <c r="H54" s="7" t="inlineStr"/>
    </row>
    <row r="55" ht="26" customHeight="1">
      <c r="A55" s="7" t="inlineStr">
        <is>
          <t>W12816</t>
        </is>
      </c>
      <c r="B55" s="8" t="inlineStr">
        <is>
          <t>Feeder - 20m  Structure - ½” Feeder Cable x 6 (three pair)</t>
        </is>
      </c>
      <c r="C55" s="9" t="inlineStr"/>
      <c r="D55" s="9" t="inlineStr"/>
      <c r="E55" s="10" t="n">
        <v>3021.2</v>
      </c>
      <c r="F55" s="11" t="n">
        <v>0</v>
      </c>
      <c r="G55" s="12">
        <f>E55*F55</f>
        <v/>
      </c>
      <c r="H55" s="7" t="inlineStr"/>
    </row>
    <row r="56" ht="26" customHeight="1">
      <c r="A56" s="7" t="inlineStr">
        <is>
          <t>W12818</t>
        </is>
      </c>
      <c r="B56" s="8" t="inlineStr">
        <is>
          <t>Feeder - 20m  Structure - ⅞ “ Feeder Cable x 2 (one pair)</t>
        </is>
      </c>
      <c r="C56" s="9" t="inlineStr"/>
      <c r="D56" s="9" t="inlineStr"/>
      <c r="E56" s="10" t="n">
        <v>1729</v>
      </c>
      <c r="F56" s="11" t="n">
        <v>0</v>
      </c>
      <c r="G56" s="12">
        <f>E56*F56</f>
        <v/>
      </c>
      <c r="H56" s="7" t="inlineStr"/>
    </row>
    <row r="57" ht="26" customHeight="1">
      <c r="A57" s="7" t="inlineStr">
        <is>
          <t>W12819</t>
        </is>
      </c>
      <c r="B57" s="8" t="inlineStr">
        <is>
          <t>Feeder - 20m  Structure - ⅞ “ Feeder Cable x 6 (three pair)</t>
        </is>
      </c>
      <c r="C57" s="9" t="inlineStr"/>
      <c r="D57" s="9" t="inlineStr"/>
      <c r="E57" s="10" t="n">
        <v>3412.5</v>
      </c>
      <c r="F57" s="11" t="n">
        <v>0</v>
      </c>
      <c r="G57" s="12">
        <f>E57*F57</f>
        <v/>
      </c>
      <c r="H57" s="7" t="inlineStr"/>
    </row>
    <row r="58" ht="26" customHeight="1">
      <c r="A58" s="7" t="inlineStr">
        <is>
          <t>W12816</t>
        </is>
      </c>
      <c r="B58" s="8" t="inlineStr">
        <is>
          <t>Feeder - 25m  Structure - ½” Feeder Cable x 6 (three pair)</t>
        </is>
      </c>
      <c r="C58" s="9" t="inlineStr"/>
      <c r="D58" s="9" t="inlineStr"/>
      <c r="E58" s="10" t="n">
        <v>3294.2</v>
      </c>
      <c r="F58" s="11" t="n">
        <v>0</v>
      </c>
      <c r="G58" s="12">
        <f>E58*F58</f>
        <v/>
      </c>
      <c r="H58" s="7" t="inlineStr"/>
    </row>
    <row r="59" ht="26" customHeight="1">
      <c r="A59" s="7" t="inlineStr">
        <is>
          <t>W12818</t>
        </is>
      </c>
      <c r="B59" s="8" t="inlineStr">
        <is>
          <t>Feeder - 25m  Structure - ⅞ “ Feeder Cable x 2 (one pair)</t>
        </is>
      </c>
      <c r="C59" s="9" t="inlineStr"/>
      <c r="D59" s="9" t="inlineStr"/>
      <c r="E59" s="10" t="n">
        <v>1593.8</v>
      </c>
      <c r="F59" s="11" t="n">
        <v>0</v>
      </c>
      <c r="G59" s="12">
        <f>E59*F59</f>
        <v/>
      </c>
      <c r="H59" s="7" t="inlineStr"/>
    </row>
    <row r="60" ht="26" customHeight="1">
      <c r="A60" s="7" t="inlineStr">
        <is>
          <t>W12819</t>
        </is>
      </c>
      <c r="B60" s="8" t="inlineStr">
        <is>
          <t>Feeder - 25m  Structure - ⅞ “ Feeder Cable x 6 (three pair)</t>
        </is>
      </c>
      <c r="C60" s="9" t="inlineStr"/>
      <c r="D60" s="9" t="inlineStr"/>
      <c r="E60" s="10" t="n">
        <v>3640</v>
      </c>
      <c r="F60" s="11" t="n">
        <v>0</v>
      </c>
      <c r="G60" s="12">
        <f>E60*F60</f>
        <v/>
      </c>
      <c r="H60" s="7" t="inlineStr"/>
    </row>
    <row r="61" ht="26" customHeight="1">
      <c r="A61" s="7" t="inlineStr">
        <is>
          <t>W12818</t>
        </is>
      </c>
      <c r="B61" s="8" t="inlineStr">
        <is>
          <t>Feeder - 30m  Structure - ⅞ “ Feeder Cable x 2 (one pair)</t>
        </is>
      </c>
      <c r="C61" s="9" t="inlineStr"/>
      <c r="D61" s="9" t="inlineStr"/>
      <c r="E61" s="10" t="n">
        <v>1592.5</v>
      </c>
      <c r="F61" s="11" t="n">
        <v>0</v>
      </c>
      <c r="G61" s="12">
        <f>E61*F61</f>
        <v/>
      </c>
      <c r="H61" s="7" t="inlineStr"/>
    </row>
    <row r="62" ht="26" customHeight="1">
      <c r="A62" s="7" t="inlineStr">
        <is>
          <t>W12819</t>
        </is>
      </c>
      <c r="B62" s="8" t="inlineStr">
        <is>
          <t>Feeder - 30m  Structure - ⅞ “ Feeder Cable x 6 (three pair)</t>
        </is>
      </c>
      <c r="C62" s="9" t="inlineStr"/>
      <c r="D62" s="9" t="inlineStr"/>
      <c r="E62" s="10" t="n">
        <v>3867.5</v>
      </c>
      <c r="F62" s="11" t="n">
        <v>0</v>
      </c>
      <c r="G62" s="12">
        <f>E62*F62</f>
        <v/>
      </c>
      <c r="H62" s="7" t="inlineStr"/>
    </row>
    <row r="63" ht="26" customHeight="1">
      <c r="A63" s="7" t="inlineStr">
        <is>
          <t>W12821</t>
        </is>
      </c>
      <c r="B63" s="8" t="inlineStr">
        <is>
          <t>Feeder - 30m  Structure - 1¼” Feeder Cable x 2 (one pair)</t>
        </is>
      </c>
      <c r="C63" s="9" t="inlineStr"/>
      <c r="D63" s="9" t="inlineStr"/>
      <c r="E63" s="10" t="n">
        <v>1956.5</v>
      </c>
      <c r="F63" s="11" t="n">
        <v>0</v>
      </c>
      <c r="G63" s="12">
        <f>E63*F63</f>
        <v/>
      </c>
      <c r="H63" s="7" t="inlineStr"/>
    </row>
    <row r="64" ht="26" customHeight="1">
      <c r="A64" s="7" t="inlineStr">
        <is>
          <t>W12822</t>
        </is>
      </c>
      <c r="B64" s="8" t="inlineStr">
        <is>
          <t>Feeder - 30m  Structure - 1¼” Feeder Cable x 6 (three pair)</t>
        </is>
      </c>
      <c r="C64" s="9" t="inlineStr"/>
      <c r="D64" s="9" t="inlineStr"/>
      <c r="E64" s="10" t="n">
        <v>5050.5</v>
      </c>
      <c r="F64" s="11" t="n">
        <v>0</v>
      </c>
      <c r="G64" s="12">
        <f>E64*F64</f>
        <v/>
      </c>
      <c r="H64" s="7" t="inlineStr"/>
    </row>
    <row r="65" ht="26" customHeight="1">
      <c r="A65" s="7" t="inlineStr">
        <is>
          <t>W12824</t>
        </is>
      </c>
      <c r="B65" s="8" t="inlineStr">
        <is>
          <t>Feeder - 30m  Structure - 1⅝” Feeder Cable x 2 (one pair)</t>
        </is>
      </c>
      <c r="C65" s="9" t="inlineStr"/>
      <c r="D65" s="9" t="inlineStr"/>
      <c r="E65" s="10" t="n">
        <v>2229.5</v>
      </c>
      <c r="F65" s="11" t="n">
        <v>0</v>
      </c>
      <c r="G65" s="12">
        <f>E65*F65</f>
        <v/>
      </c>
      <c r="H65" s="7" t="inlineStr"/>
    </row>
    <row r="66" ht="26" customHeight="1">
      <c r="A66" s="7" t="inlineStr">
        <is>
          <t>W12825</t>
        </is>
      </c>
      <c r="B66" s="8" t="inlineStr">
        <is>
          <t>Feeder - 30m  Structure - 1⅝” Feeder Cable x 6 (three pair)</t>
        </is>
      </c>
      <c r="C66" s="9" t="inlineStr"/>
      <c r="D66" s="9" t="inlineStr"/>
      <c r="E66" s="10" t="n">
        <v>5414.5</v>
      </c>
      <c r="F66" s="11" t="n">
        <v>0</v>
      </c>
      <c r="G66" s="12">
        <f>E66*F66</f>
        <v/>
      </c>
      <c r="H66" s="7" t="inlineStr"/>
    </row>
    <row r="67" ht="26" customHeight="1">
      <c r="A67" s="7" t="inlineStr">
        <is>
          <t>W12818</t>
        </is>
      </c>
      <c r="B67" s="8" t="inlineStr">
        <is>
          <t>Feeder - 35m  Structure - ⅞ “ Feeder Cable x 2 (one pair)</t>
        </is>
      </c>
      <c r="C67" s="9" t="inlineStr"/>
      <c r="D67" s="9" t="inlineStr"/>
      <c r="E67" s="10" t="n">
        <v>1820</v>
      </c>
      <c r="F67" s="11" t="n">
        <v>0</v>
      </c>
      <c r="G67" s="12">
        <f>E67*F67</f>
        <v/>
      </c>
      <c r="H67" s="7" t="inlineStr"/>
    </row>
    <row r="68" ht="26" customHeight="1">
      <c r="A68" s="7" t="inlineStr">
        <is>
          <t>W12819</t>
        </is>
      </c>
      <c r="B68" s="8" t="inlineStr">
        <is>
          <t>Feeder - 35m  Structure - ⅞ “ Feeder Cable x 6 (three pair)</t>
        </is>
      </c>
      <c r="C68" s="9" t="inlineStr"/>
      <c r="D68" s="9" t="inlineStr"/>
      <c r="E68" s="10" t="n">
        <v>4095</v>
      </c>
      <c r="F68" s="11" t="n">
        <v>0</v>
      </c>
      <c r="G68" s="12">
        <f>E68*F68</f>
        <v/>
      </c>
      <c r="H68" s="7" t="inlineStr"/>
    </row>
    <row r="69" ht="26" customHeight="1">
      <c r="A69" s="7" t="inlineStr">
        <is>
          <t>W12821</t>
        </is>
      </c>
      <c r="B69" s="8" t="inlineStr">
        <is>
          <t>Feeder - 35m  Structure - 1¼” Feeder Cable x 2 (one pair)</t>
        </is>
      </c>
      <c r="C69" s="9" t="inlineStr"/>
      <c r="D69" s="9" t="inlineStr"/>
      <c r="E69" s="10" t="n">
        <v>2138.5</v>
      </c>
      <c r="F69" s="11" t="n">
        <v>0</v>
      </c>
      <c r="G69" s="12">
        <f>E69*F69</f>
        <v/>
      </c>
      <c r="H69" s="7" t="inlineStr"/>
    </row>
    <row r="70" ht="26" customHeight="1">
      <c r="A70" s="7" t="inlineStr">
        <is>
          <t>W12822</t>
        </is>
      </c>
      <c r="B70" s="8" t="inlineStr">
        <is>
          <t>Feeder - 35m  Structure - 1¼” Feeder Cable x 6 (three pair)</t>
        </is>
      </c>
      <c r="C70" s="9" t="inlineStr"/>
      <c r="D70" s="9" t="inlineStr"/>
      <c r="E70" s="10" t="n">
        <v>5414.5</v>
      </c>
      <c r="F70" s="11" t="n">
        <v>0</v>
      </c>
      <c r="G70" s="12">
        <f>E70*F70</f>
        <v/>
      </c>
      <c r="H70" s="7" t="inlineStr"/>
    </row>
    <row r="71" ht="26" customHeight="1">
      <c r="A71" s="7" t="inlineStr">
        <is>
          <t>W12824</t>
        </is>
      </c>
      <c r="B71" s="8" t="inlineStr">
        <is>
          <t>Feeder - 35m  Structure - 1⅝” Feeder Cable x 2 (one pair)</t>
        </is>
      </c>
      <c r="C71" s="9" t="inlineStr"/>
      <c r="D71" s="9" t="inlineStr"/>
      <c r="E71" s="10" t="n">
        <v>2684.5</v>
      </c>
      <c r="F71" s="11" t="n">
        <v>0</v>
      </c>
      <c r="G71" s="12">
        <f>E71*F71</f>
        <v/>
      </c>
      <c r="H71" s="7" t="inlineStr"/>
    </row>
    <row r="72" ht="26" customHeight="1">
      <c r="A72" s="7" t="inlineStr">
        <is>
          <t>W12825</t>
        </is>
      </c>
      <c r="B72" s="8" t="inlineStr">
        <is>
          <t>Feeder - 35m  Structure - 1⅝” Feeder Cable x 6 (three pair)</t>
        </is>
      </c>
      <c r="C72" s="9" t="inlineStr"/>
      <c r="D72" s="9" t="inlineStr"/>
      <c r="E72" s="10" t="n">
        <v>5869.5</v>
      </c>
      <c r="F72" s="11" t="n">
        <v>0</v>
      </c>
      <c r="G72" s="12">
        <f>E72*F72</f>
        <v/>
      </c>
      <c r="H72" s="7" t="inlineStr"/>
    </row>
    <row r="73" ht="26" customHeight="1">
      <c r="A73" s="7" t="inlineStr">
        <is>
          <t>W12818</t>
        </is>
      </c>
      <c r="B73" s="8" t="inlineStr">
        <is>
          <t>Feeder - 40m  Structure - ⅞ “ Feeder Cable x 2 (one pair)</t>
        </is>
      </c>
      <c r="C73" s="9" t="inlineStr"/>
      <c r="D73" s="9" t="inlineStr"/>
      <c r="E73" s="10" t="n">
        <v>2184</v>
      </c>
      <c r="F73" s="11" t="n">
        <v>0</v>
      </c>
      <c r="G73" s="12">
        <f>E73*F73</f>
        <v/>
      </c>
      <c r="H73" s="7" t="inlineStr"/>
    </row>
    <row r="74" ht="26" customHeight="1">
      <c r="A74" s="7" t="inlineStr">
        <is>
          <t>W12819</t>
        </is>
      </c>
      <c r="B74" s="8" t="inlineStr">
        <is>
          <t>Feeder - 40m  Structure - ⅞ “ Feeder Cable x 6 (three pair)</t>
        </is>
      </c>
      <c r="C74" s="9" t="inlineStr"/>
      <c r="D74" s="9" t="inlineStr"/>
      <c r="E74" s="10" t="n">
        <v>4368</v>
      </c>
      <c r="F74" s="11" t="n">
        <v>0</v>
      </c>
      <c r="G74" s="12">
        <f>E74*F74</f>
        <v/>
      </c>
      <c r="H74" s="7" t="inlineStr"/>
    </row>
    <row r="75" ht="26" customHeight="1">
      <c r="A75" s="7" t="inlineStr">
        <is>
          <t>W12821</t>
        </is>
      </c>
      <c r="B75" s="8" t="inlineStr">
        <is>
          <t>Feeder - 40m  Structure - 1¼” Feeder Cable x 2 (one pair)</t>
        </is>
      </c>
      <c r="C75" s="9" t="inlineStr"/>
      <c r="D75" s="9" t="inlineStr"/>
      <c r="E75" s="10" t="n">
        <v>2411.5</v>
      </c>
      <c r="F75" s="11" t="n">
        <v>0</v>
      </c>
      <c r="G75" s="12">
        <f>E75*F75</f>
        <v/>
      </c>
      <c r="H75" s="7" t="inlineStr"/>
    </row>
    <row r="76" ht="26" customHeight="1">
      <c r="A76" s="7" t="inlineStr">
        <is>
          <t>W12822</t>
        </is>
      </c>
      <c r="B76" s="8" t="inlineStr">
        <is>
          <t>Feeder - 40m  Structure - 1¼” Feeder Cable x 6 (three pair)</t>
        </is>
      </c>
      <c r="C76" s="9" t="inlineStr"/>
      <c r="D76" s="9" t="inlineStr"/>
      <c r="E76" s="10" t="n">
        <v>5778.5</v>
      </c>
      <c r="F76" s="11" t="n">
        <v>0</v>
      </c>
      <c r="G76" s="12">
        <f>E76*F76</f>
        <v/>
      </c>
      <c r="H76" s="7" t="inlineStr"/>
    </row>
    <row r="77" ht="26" customHeight="1">
      <c r="A77" s="7" t="inlineStr">
        <is>
          <t>W12824</t>
        </is>
      </c>
      <c r="B77" s="8" t="inlineStr">
        <is>
          <t>Feeder - 40m  Structure - 1⅝” Feeder Cable x 2 (one pair)</t>
        </is>
      </c>
      <c r="C77" s="9" t="inlineStr"/>
      <c r="D77" s="9" t="inlineStr"/>
      <c r="E77" s="10" t="n">
        <v>2957.5</v>
      </c>
      <c r="F77" s="11" t="n">
        <v>0</v>
      </c>
      <c r="G77" s="12">
        <f>E77*F77</f>
        <v/>
      </c>
      <c r="H77" s="7" t="inlineStr"/>
    </row>
    <row r="78" ht="26" customHeight="1">
      <c r="A78" s="7" t="inlineStr">
        <is>
          <t>W12825</t>
        </is>
      </c>
      <c r="B78" s="8" t="inlineStr">
        <is>
          <t>Feeder - 40m  Structure - 1⅝” Feeder Cable x 6 (three pair)</t>
        </is>
      </c>
      <c r="C78" s="9" t="inlineStr"/>
      <c r="D78" s="9" t="inlineStr"/>
      <c r="E78" s="10" t="n">
        <v>6552</v>
      </c>
      <c r="F78" s="11" t="n">
        <v>0</v>
      </c>
      <c r="G78" s="12">
        <f>E78*F78</f>
        <v/>
      </c>
      <c r="H78" s="7" t="inlineStr"/>
    </row>
    <row r="79" ht="26" customHeight="1">
      <c r="A79" s="7" t="inlineStr">
        <is>
          <t>W12818</t>
        </is>
      </c>
      <c r="B79" s="8" t="inlineStr">
        <is>
          <t>Feeder - 50m  Structure - ⅞” Feeder Cable x 2 (one pair)</t>
        </is>
      </c>
      <c r="C79" s="9" t="inlineStr"/>
      <c r="D79" s="9" t="inlineStr"/>
      <c r="E79" s="10" t="n">
        <v>2548</v>
      </c>
      <c r="F79" s="11" t="n">
        <v>0</v>
      </c>
      <c r="G79" s="12">
        <f>E79*F79</f>
        <v/>
      </c>
      <c r="H79" s="7" t="inlineStr"/>
    </row>
    <row r="80" ht="26" customHeight="1">
      <c r="A80" s="7" t="inlineStr">
        <is>
          <t>W12819</t>
        </is>
      </c>
      <c r="B80" s="8" t="inlineStr">
        <is>
          <t>Feeder - 50m  Structure - ⅞” Feeder Cable x 6 (three pair)</t>
        </is>
      </c>
      <c r="C80" s="9" t="inlineStr"/>
      <c r="D80" s="9" t="inlineStr"/>
      <c r="E80" s="10" t="n">
        <v>5096</v>
      </c>
      <c r="F80" s="11" t="n">
        <v>0</v>
      </c>
      <c r="G80" s="12">
        <f>E80*F80</f>
        <v/>
      </c>
      <c r="H80" s="7" t="inlineStr"/>
    </row>
    <row r="81" ht="26" customHeight="1">
      <c r="A81" s="7" t="inlineStr">
        <is>
          <t>W12821</t>
        </is>
      </c>
      <c r="B81" s="8" t="inlineStr">
        <is>
          <t>Feeder - 50m  Structure - 1¼” Feeder Cable x 2 (one pair)</t>
        </is>
      </c>
      <c r="C81" s="9" t="inlineStr"/>
      <c r="D81" s="9" t="inlineStr"/>
      <c r="E81" s="10" t="n">
        <v>2684.5</v>
      </c>
      <c r="F81" s="11" t="n">
        <v>0</v>
      </c>
      <c r="G81" s="12">
        <f>E81*F81</f>
        <v/>
      </c>
      <c r="H81" s="7" t="inlineStr"/>
    </row>
    <row r="82" ht="26" customHeight="1">
      <c r="A82" s="7" t="inlineStr">
        <is>
          <t>W12822</t>
        </is>
      </c>
      <c r="B82" s="8" t="inlineStr">
        <is>
          <t>Feeder - 50m  Structure - 1¼” Feeder Cable x 6 (three pair)</t>
        </is>
      </c>
      <c r="C82" s="9" t="inlineStr"/>
      <c r="D82" s="9" t="inlineStr"/>
      <c r="E82" s="10" t="n">
        <v>6324.5</v>
      </c>
      <c r="F82" s="11" t="n">
        <v>0</v>
      </c>
      <c r="G82" s="12">
        <f>E82*F82</f>
        <v/>
      </c>
      <c r="H82" s="7" t="inlineStr"/>
    </row>
    <row r="83" ht="26" customHeight="1">
      <c r="A83" s="7" t="inlineStr">
        <is>
          <t>W12824</t>
        </is>
      </c>
      <c r="B83" s="8" t="inlineStr">
        <is>
          <t>Feeder - 50m  Structure - 1⅝” Feeder Cable x 2 (one pair)</t>
        </is>
      </c>
      <c r="C83" s="9" t="inlineStr"/>
      <c r="D83" s="9" t="inlineStr"/>
      <c r="E83" s="10" t="n">
        <v>3321.5</v>
      </c>
      <c r="F83" s="11" t="n">
        <v>0</v>
      </c>
      <c r="G83" s="12">
        <f>E83*F83</f>
        <v/>
      </c>
      <c r="H83" s="7" t="inlineStr"/>
    </row>
    <row r="84" ht="26" customHeight="1">
      <c r="A84" s="7" t="inlineStr">
        <is>
          <t>W12825</t>
        </is>
      </c>
      <c r="B84" s="8" t="inlineStr">
        <is>
          <t>Feeder - 50m  Structure - 1⅝” Feeder Cable x 6 (three pair)</t>
        </is>
      </c>
      <c r="C84" s="9" t="inlineStr"/>
      <c r="D84" s="9" t="inlineStr"/>
      <c r="E84" s="10" t="n">
        <v>7189</v>
      </c>
      <c r="F84" s="11" t="n">
        <v>0</v>
      </c>
      <c r="G84" s="12">
        <f>E84*F84</f>
        <v/>
      </c>
      <c r="H84" s="7" t="inlineStr"/>
    </row>
    <row r="85" ht="26" customHeight="1">
      <c r="A85" s="7" t="inlineStr">
        <is>
          <t>W12818</t>
        </is>
      </c>
      <c r="B85" s="8" t="inlineStr">
        <is>
          <t>Feeder - 60m  Structure - ⅞” Feeder Cable x 2 (one pair)</t>
        </is>
      </c>
      <c r="C85" s="9" t="inlineStr"/>
      <c r="D85" s="9" t="inlineStr"/>
      <c r="E85" s="10" t="n">
        <v>4160</v>
      </c>
      <c r="F85" s="11" t="n">
        <v>0</v>
      </c>
      <c r="G85" s="12">
        <f>E85*F85</f>
        <v/>
      </c>
      <c r="H85" s="7" t="inlineStr"/>
    </row>
    <row r="86" ht="26" customHeight="1">
      <c r="A86" s="7" t="inlineStr">
        <is>
          <t>W12819</t>
        </is>
      </c>
      <c r="B86" s="8" t="inlineStr">
        <is>
          <t>Feeder - 60m  Structure - ⅞” Feeder Cable x 6 (three pair)</t>
        </is>
      </c>
      <c r="C86" s="9" t="inlineStr"/>
      <c r="D86" s="9" t="inlineStr"/>
      <c r="E86" s="10" t="n">
        <v>8840</v>
      </c>
      <c r="F86" s="11" t="n">
        <v>0</v>
      </c>
      <c r="G86" s="12">
        <f>E86*F86</f>
        <v/>
      </c>
      <c r="H86" s="7" t="inlineStr"/>
    </row>
    <row r="87" ht="26" customHeight="1">
      <c r="A87" s="7" t="inlineStr">
        <is>
          <t>W12821</t>
        </is>
      </c>
      <c r="B87" s="8" t="inlineStr">
        <is>
          <t>Feeder - 60m  Structure - 1¼” Feeder Cable x 2 (one pair)</t>
        </is>
      </c>
      <c r="C87" s="9" t="inlineStr"/>
      <c r="D87" s="9" t="inlineStr"/>
      <c r="E87" s="10" t="n">
        <v>4355</v>
      </c>
      <c r="F87" s="11" t="n">
        <v>0</v>
      </c>
      <c r="G87" s="12">
        <f>E87*F87</f>
        <v/>
      </c>
      <c r="H87" s="7" t="inlineStr"/>
    </row>
    <row r="88" ht="26" customHeight="1">
      <c r="A88" s="7" t="inlineStr">
        <is>
          <t>W12822</t>
        </is>
      </c>
      <c r="B88" s="8" t="inlineStr">
        <is>
          <t>Feeder - 60m  Structure - 1¼” Feeder Cable x 6 (three pair)</t>
        </is>
      </c>
      <c r="C88" s="9" t="inlineStr"/>
      <c r="D88" s="9" t="inlineStr"/>
      <c r="E88" s="10" t="n">
        <v>9828</v>
      </c>
      <c r="F88" s="11" t="n">
        <v>0</v>
      </c>
      <c r="G88" s="12">
        <f>E88*F88</f>
        <v/>
      </c>
      <c r="H88" s="7" t="inlineStr"/>
    </row>
    <row r="89" ht="26" customHeight="1">
      <c r="A89" s="7" t="inlineStr">
        <is>
          <t>W12824</t>
        </is>
      </c>
      <c r="B89" s="8" t="inlineStr">
        <is>
          <t>Feeder - 60m  Structure - 1⅝” Feeder Cable x 2 (one pair)</t>
        </is>
      </c>
      <c r="C89" s="9" t="inlineStr"/>
      <c r="D89" s="9" t="inlineStr"/>
      <c r="E89" s="10" t="n">
        <v>5135</v>
      </c>
      <c r="F89" s="11" t="n">
        <v>0</v>
      </c>
      <c r="G89" s="12">
        <f>E89*F89</f>
        <v/>
      </c>
      <c r="H89" s="7" t="inlineStr"/>
    </row>
    <row r="90" ht="26" customHeight="1">
      <c r="A90" s="7" t="inlineStr">
        <is>
          <t>W12825</t>
        </is>
      </c>
      <c r="B90" s="8" t="inlineStr">
        <is>
          <t>Feeder - 60m  Structure - 1⅝” Feeder Cable x 6 (three pair)</t>
        </is>
      </c>
      <c r="C90" s="9" t="inlineStr"/>
      <c r="D90" s="9" t="inlineStr"/>
      <c r="E90" s="10" t="n">
        <v>11245</v>
      </c>
      <c r="F90" s="11" t="n">
        <v>0</v>
      </c>
      <c r="G90" s="12">
        <f>E90*F90</f>
        <v/>
      </c>
      <c r="H90" s="7" t="inlineStr"/>
    </row>
    <row r="91" ht="26" customHeight="1">
      <c r="A91" s="7" t="inlineStr">
        <is>
          <t>W12821</t>
        </is>
      </c>
      <c r="B91" s="8" t="inlineStr">
        <is>
          <t>Feeder - 75m  Structure - 1¼” Feeder Cable x 2 (one pair)</t>
        </is>
      </c>
      <c r="C91" s="9" t="inlineStr"/>
      <c r="D91" s="9" t="inlineStr"/>
      <c r="E91" s="10" t="n">
        <v>9360</v>
      </c>
      <c r="F91" s="11" t="n">
        <v>0</v>
      </c>
      <c r="G91" s="12">
        <f>E91*F91</f>
        <v/>
      </c>
      <c r="H91" s="7" t="inlineStr"/>
    </row>
    <row r="92" ht="26" customHeight="1">
      <c r="A92" s="7" t="inlineStr">
        <is>
          <t>W12822</t>
        </is>
      </c>
      <c r="B92" s="8" t="inlineStr">
        <is>
          <t>Feeder - 75m  Structure - 1¼” Feeder Cable x 6 (three pair)</t>
        </is>
      </c>
      <c r="C92" s="9" t="inlineStr"/>
      <c r="D92" s="9" t="inlineStr"/>
      <c r="E92" s="10" t="n">
        <v>11440</v>
      </c>
      <c r="F92" s="11" t="n">
        <v>0</v>
      </c>
      <c r="G92" s="12">
        <f>E92*F92</f>
        <v/>
      </c>
      <c r="H92" s="7" t="inlineStr"/>
    </row>
    <row r="93" ht="26" customHeight="1">
      <c r="A93" s="7" t="inlineStr">
        <is>
          <t>W12824</t>
        </is>
      </c>
      <c r="B93" s="8" t="inlineStr">
        <is>
          <t>Feeder - 75m  Structure - 1⅝” Feeder Cable x 2 (one pair)</t>
        </is>
      </c>
      <c r="C93" s="9" t="inlineStr"/>
      <c r="D93" s="9" t="inlineStr"/>
      <c r="E93" s="10" t="n">
        <v>10205</v>
      </c>
      <c r="F93" s="11" t="n">
        <v>0</v>
      </c>
      <c r="G93" s="12">
        <f>E93*F93</f>
        <v/>
      </c>
      <c r="H93" s="7" t="inlineStr"/>
    </row>
    <row r="94" ht="26" customHeight="1">
      <c r="A94" s="7" t="inlineStr">
        <is>
          <t>W12825</t>
        </is>
      </c>
      <c r="B94" s="8" t="inlineStr">
        <is>
          <t>Feeder - 75m  Structure - 1⅝” Feeder Cable x 6 (three pair)</t>
        </is>
      </c>
      <c r="C94" s="9" t="inlineStr"/>
      <c r="D94" s="9" t="inlineStr"/>
      <c r="E94" s="10" t="n">
        <v>16380</v>
      </c>
      <c r="F94" s="11" t="n">
        <v>0</v>
      </c>
      <c r="G94" s="12">
        <f>E94*F94</f>
        <v/>
      </c>
      <c r="H94" s="7" t="inlineStr"/>
    </row>
    <row r="95" ht="26" customHeight="1">
      <c r="A95" s="7" t="inlineStr">
        <is>
          <t>W12821</t>
        </is>
      </c>
      <c r="B95" s="8" t="inlineStr">
        <is>
          <t>Feeder - 100m  Structure - 1¼” Feeder Cable x 2 (one pair)</t>
        </is>
      </c>
      <c r="C95" s="9" t="inlineStr"/>
      <c r="D95" s="9" t="inlineStr"/>
      <c r="E95" s="10" t="n">
        <v>11250.195762</v>
      </c>
      <c r="F95" s="11" t="n">
        <v>0</v>
      </c>
      <c r="G95" s="12">
        <f>E95*F95</f>
        <v/>
      </c>
      <c r="H95" s="7" t="inlineStr"/>
    </row>
    <row r="96" ht="26" customHeight="1">
      <c r="A96" s="7" t="inlineStr">
        <is>
          <t>W12822</t>
        </is>
      </c>
      <c r="B96" s="8" t="inlineStr">
        <is>
          <t>Feeder - 100m  Structure - 1¼” Feeder Cable x 6 (three pair)</t>
        </is>
      </c>
      <c r="C96" s="9" t="inlineStr"/>
      <c r="D96" s="9" t="inlineStr"/>
      <c r="E96" s="10" t="n">
        <v>20280</v>
      </c>
      <c r="F96" s="11" t="n">
        <v>0</v>
      </c>
      <c r="G96" s="12">
        <f>E96*F96</f>
        <v/>
      </c>
      <c r="H96" s="7" t="inlineStr"/>
    </row>
    <row r="97" ht="26" customHeight="1">
      <c r="A97" s="7" t="inlineStr">
        <is>
          <t>W12824</t>
        </is>
      </c>
      <c r="B97" s="8" t="inlineStr">
        <is>
          <t>Feeder - 100m  Structure - 1⅝” Feeder Cable x 2 (one pair)</t>
        </is>
      </c>
      <c r="C97" s="9" t="inlineStr"/>
      <c r="D97" s="9" t="inlineStr"/>
      <c r="E97" s="10" t="n">
        <v>11875.806716475</v>
      </c>
      <c r="F97" s="11" t="n">
        <v>0</v>
      </c>
      <c r="G97" s="12">
        <f>E97*F97</f>
        <v/>
      </c>
      <c r="H97" s="7" t="inlineStr"/>
    </row>
    <row r="98" ht="26" customHeight="1">
      <c r="A98" s="7" t="inlineStr">
        <is>
          <t>W12825</t>
        </is>
      </c>
      <c r="B98" s="8" t="inlineStr">
        <is>
          <t>Feeder - 100m  Structure - 1⅝” Feeder Cable x 6 (three pair)</t>
        </is>
      </c>
      <c r="C98" s="9" t="inlineStr"/>
      <c r="D98" s="9" t="inlineStr"/>
      <c r="E98" s="10" t="n">
        <v>24570</v>
      </c>
      <c r="F98" s="11" t="n">
        <v>0</v>
      </c>
      <c r="G98" s="12">
        <f>E98*F98</f>
        <v/>
      </c>
      <c r="H98" s="7" t="inlineStr"/>
    </row>
    <row r="99" ht="24" customHeight="1">
      <c r="A99" s="5" t="inlineStr">
        <is>
          <t>FEEDERS AND HYBRIDS - ROOFTOP (EX PLANT, INC TESTING, FIM)</t>
        </is>
      </c>
      <c r="B99" s="6" t="n"/>
      <c r="C99" s="6" t="n"/>
      <c r="D99" s="6" t="n"/>
      <c r="E99" s="6" t="n"/>
      <c r="F99" s="6" t="n"/>
      <c r="G99" s="6" t="n"/>
      <c r="H99" s="6" t="n"/>
    </row>
    <row r="100" ht="26" customHeight="1">
      <c r="A100" s="7" t="inlineStr">
        <is>
          <t>W13367</t>
        </is>
      </c>
      <c r="B100" s="8" t="inlineStr">
        <is>
          <t>Hybriflex x 1 - rooftop per lineal metre</t>
        </is>
      </c>
      <c r="C100" s="9" t="inlineStr"/>
      <c r="D100" s="9" t="inlineStr"/>
      <c r="E100" s="10" t="n">
        <v>55.38</v>
      </c>
      <c r="F100" s="11" t="n">
        <v>0</v>
      </c>
      <c r="G100" s="12">
        <f>E100*F100</f>
        <v/>
      </c>
      <c r="H100" s="7" t="inlineStr"/>
    </row>
    <row r="101" ht="26" customHeight="1">
      <c r="A101" s="7" t="inlineStr">
        <is>
          <t>W13368</t>
        </is>
      </c>
      <c r="B101" s="8" t="inlineStr">
        <is>
          <t>Hybriflex x 2 - rooftop per lineal metre</t>
        </is>
      </c>
      <c r="C101" s="9" t="inlineStr"/>
      <c r="D101" s="9" t="inlineStr"/>
      <c r="E101" s="10" t="n">
        <v>97.5</v>
      </c>
      <c r="F101" s="11" t="n">
        <v>0</v>
      </c>
      <c r="G101" s="12">
        <f>E101*F101</f>
        <v/>
      </c>
      <c r="H101" s="7" t="inlineStr"/>
    </row>
    <row r="102" ht="26" customHeight="1">
      <c r="A102" s="7" t="inlineStr">
        <is>
          <t>W13369</t>
        </is>
      </c>
      <c r="B102" s="8" t="inlineStr">
        <is>
          <t>Hybriflex x 3 - Rooftop per lineal metre</t>
        </is>
      </c>
      <c r="C102" s="9" t="inlineStr"/>
      <c r="D102" s="9" t="inlineStr"/>
      <c r="E102" s="10" t="n">
        <v>101.855</v>
      </c>
      <c r="F102" s="11" t="n">
        <v>0</v>
      </c>
      <c r="G102" s="12">
        <f>E102*F102</f>
        <v/>
      </c>
      <c r="H102" s="7" t="inlineStr"/>
    </row>
    <row r="103" ht="26" customHeight="1">
      <c r="A103" s="7" t="inlineStr">
        <is>
          <t>W12807</t>
        </is>
      </c>
      <c r="B103" s="8" t="inlineStr">
        <is>
          <t>Feeder - ½” x 2  building / rooftop</t>
        </is>
      </c>
      <c r="C103" s="9" t="inlineStr"/>
      <c r="D103" s="9" t="inlineStr"/>
      <c r="E103" s="10" t="n">
        <v>50.18000000000001</v>
      </c>
      <c r="F103" s="11" t="n">
        <v>0</v>
      </c>
      <c r="G103" s="12">
        <f>E103*F103</f>
        <v/>
      </c>
      <c r="H103" s="7" t="inlineStr"/>
    </row>
    <row r="104" ht="26" customHeight="1">
      <c r="A104" s="7" t="inlineStr">
        <is>
          <t>W12809</t>
        </is>
      </c>
      <c r="B104" s="8" t="inlineStr">
        <is>
          <t>Feeder - ⅞” x 2 building / rooftop</t>
        </is>
      </c>
      <c r="C104" s="9" t="inlineStr"/>
      <c r="D104" s="9" t="inlineStr"/>
      <c r="E104" s="10" t="n">
        <v>45.5</v>
      </c>
      <c r="F104" s="11" t="n">
        <v>0</v>
      </c>
      <c r="G104" s="12">
        <f>E104*F104</f>
        <v/>
      </c>
      <c r="H104" s="7" t="inlineStr"/>
    </row>
    <row r="105" ht="40" customHeight="1">
      <c r="A105" s="7" t="inlineStr">
        <is>
          <t>W12808</t>
        </is>
      </c>
      <c r="B105" s="8" t="inlineStr">
        <is>
          <t>Feeder – 1 x ⅞” Feeder cable On building / rooftop / or similar per lm</t>
        </is>
      </c>
      <c r="C105" s="9" t="inlineStr"/>
      <c r="D105" s="9" t="inlineStr"/>
      <c r="E105" s="10" t="n">
        <v>85</v>
      </c>
      <c r="F105" s="11" t="n">
        <v>0</v>
      </c>
      <c r="G105" s="12">
        <f>E105*F105</f>
        <v/>
      </c>
      <c r="H105" s="7" t="inlineStr"/>
    </row>
    <row r="106" ht="26" customHeight="1">
      <c r="A106" s="7" t="inlineStr">
        <is>
          <t>W12811</t>
        </is>
      </c>
      <c r="B106" s="8" t="inlineStr">
        <is>
          <t>Feeder - 1¼” x 2 building / rooftop</t>
        </is>
      </c>
      <c r="C106" s="9" t="inlineStr"/>
      <c r="D106" s="9" t="inlineStr"/>
      <c r="E106" s="10" t="n">
        <v>87.10000000000001</v>
      </c>
      <c r="F106" s="11" t="n">
        <v>0</v>
      </c>
      <c r="G106" s="12">
        <f>E106*F106</f>
        <v/>
      </c>
      <c r="H106" s="7" t="inlineStr"/>
    </row>
    <row r="107" ht="26" customHeight="1">
      <c r="A107" s="7" t="inlineStr">
        <is>
          <t>W12813</t>
        </is>
      </c>
      <c r="B107" s="8" t="inlineStr">
        <is>
          <t>Feeder - 1⅝” x 2  building / rooftop</t>
        </is>
      </c>
      <c r="C107" s="9" t="inlineStr"/>
      <c r="D107" s="9" t="inlineStr"/>
      <c r="E107" s="10" t="n">
        <v>97.5</v>
      </c>
      <c r="F107" s="11" t="n">
        <v>0</v>
      </c>
      <c r="G107" s="12">
        <f>E107*F107</f>
        <v/>
      </c>
      <c r="H107" s="7" t="inlineStr"/>
    </row>
    <row r="108" ht="40" customHeight="1">
      <c r="A108" s="7" t="inlineStr">
        <is>
          <t>R13370</t>
        </is>
      </c>
      <c r="B108" s="8" t="inlineStr">
        <is>
          <t>Recover Feeder or hybrid on a building / per lm rooftop / or similar during new installation</t>
        </is>
      </c>
      <c r="C108" s="9" t="inlineStr"/>
      <c r="D108" s="9" t="inlineStr"/>
      <c r="E108" s="10" t="n">
        <v>9</v>
      </c>
      <c r="F108" s="11" t="n">
        <v>0</v>
      </c>
      <c r="G108" s="12">
        <f>E108*F108</f>
        <v/>
      </c>
      <c r="H108" s="7" t="inlineStr"/>
    </row>
    <row r="109" ht="26" customHeight="1">
      <c r="A109" s="7" t="inlineStr">
        <is>
          <t>W12291</t>
        </is>
      </c>
      <c r="B109" s="8" t="inlineStr">
        <is>
          <t>RET Cable (AISG) x 1</t>
        </is>
      </c>
      <c r="C109" s="9" t="inlineStr"/>
      <c r="D109" s="9" t="inlineStr">
        <is>
          <t>each</t>
        </is>
      </c>
      <c r="E109" s="10" t="n">
        <v>168.48</v>
      </c>
      <c r="F109" s="11" t="n">
        <v>0</v>
      </c>
      <c r="G109" s="12">
        <f>E109*F109</f>
        <v/>
      </c>
      <c r="H109" s="7" t="inlineStr"/>
    </row>
    <row r="110" ht="40" customHeight="1">
      <c r="A110" s="7" t="inlineStr">
        <is>
          <t>W13371</t>
        </is>
      </c>
      <c r="B110" s="8" t="inlineStr">
        <is>
          <t>Hybrid Cable termination (On building / rooftop / or similar)</t>
        </is>
      </c>
      <c r="C110" s="9" t="inlineStr"/>
      <c r="D110" s="9" t="inlineStr">
        <is>
          <t>each</t>
        </is>
      </c>
      <c r="E110" s="10" t="n">
        <v>185.25</v>
      </c>
      <c r="F110" s="11" t="n">
        <v>0</v>
      </c>
      <c r="G110" s="12">
        <f>E110*F110</f>
        <v/>
      </c>
      <c r="H110" s="7" t="inlineStr"/>
    </row>
    <row r="111" ht="26" customHeight="1">
      <c r="A111" s="7" t="inlineStr">
        <is>
          <t>W13364</t>
        </is>
      </c>
      <c r="B111" s="8" t="inlineStr">
        <is>
          <t>Custom made tail fabrication over 5m &amp; testing</t>
        </is>
      </c>
      <c r="C111" s="9" t="inlineStr"/>
      <c r="D111" s="9" t="inlineStr">
        <is>
          <t>each</t>
        </is>
      </c>
      <c r="E111" s="10" t="n">
        <v>292.89</v>
      </c>
      <c r="F111" s="11" t="n">
        <v>0</v>
      </c>
      <c r="G111" s="12">
        <f>E111*F111</f>
        <v/>
      </c>
      <c r="H111" s="7" t="inlineStr"/>
    </row>
    <row r="112" ht="40" customHeight="1">
      <c r="A112" s="7" t="inlineStr">
        <is>
          <t>W13159</t>
        </is>
      </c>
      <c r="B112" s="8" t="inlineStr">
        <is>
          <t>Re-Connect existing RF Tail onto New Antenna during Antenna Swap out</t>
        </is>
      </c>
      <c r="C112" s="9" t="inlineStr"/>
      <c r="D112" s="9" t="inlineStr">
        <is>
          <t>each</t>
        </is>
      </c>
      <c r="E112" s="10" t="n">
        <v>71.76000000000001</v>
      </c>
      <c r="F112" s="11" t="n">
        <v>0</v>
      </c>
      <c r="G112" s="12">
        <f>E112*F112</f>
        <v/>
      </c>
      <c r="H112" s="7" t="inlineStr"/>
    </row>
    <row r="113" ht="26" customHeight="1">
      <c r="A113" s="7" t="inlineStr"/>
      <c r="B113" s="8" t="inlineStr">
        <is>
          <t>Testing and reporting on legacy hybrid feeders</t>
        </is>
      </c>
      <c r="C113" s="9" t="inlineStr"/>
      <c r="D113" s="9" t="inlineStr">
        <is>
          <t>each</t>
        </is>
      </c>
      <c r="E113" s="10" t="n">
        <v>117</v>
      </c>
      <c r="F113" s="11" t="n">
        <v>0</v>
      </c>
      <c r="G113" s="12">
        <f>E113*F113</f>
        <v/>
      </c>
      <c r="H113" s="7" t="inlineStr"/>
    </row>
    <row r="114" ht="40" customHeight="1">
      <c r="A114" s="7" t="inlineStr">
        <is>
          <t>W13375</t>
        </is>
      </c>
      <c r="B114" s="8" t="inlineStr">
        <is>
          <t>PIM/Sweep testing to reused existing spare feeder (per feeder)</t>
        </is>
      </c>
      <c r="C114" s="9" t="inlineStr"/>
      <c r="D114" s="9" t="inlineStr">
        <is>
          <t>each</t>
        </is>
      </c>
      <c r="E114" s="10" t="n">
        <v>97.5</v>
      </c>
      <c r="F114" s="11" t="n">
        <v>0</v>
      </c>
      <c r="G114" s="12">
        <f>E114*F114</f>
        <v/>
      </c>
      <c r="H114" s="7" t="inlineStr"/>
    </row>
    <row r="115" ht="24" customHeight="1">
      <c r="A115" s="5" t="inlineStr">
        <is>
          <t>ANTENNA MOUNTS AND HEADFRAME (EX PLANT, FIM)</t>
        </is>
      </c>
      <c r="B115" s="6" t="n"/>
      <c r="C115" s="6" t="n"/>
      <c r="D115" s="6" t="n"/>
      <c r="E115" s="6" t="n"/>
      <c r="F115" s="6" t="n"/>
      <c r="G115" s="6" t="n"/>
      <c r="H115" s="6" t="n"/>
    </row>
    <row r="116" ht="26" customHeight="1">
      <c r="A116" s="7" t="inlineStr">
        <is>
          <t>W13336</t>
        </is>
      </c>
      <c r="B116" s="8" t="inlineStr">
        <is>
          <t>TUFT or turret style Antenna Dual Stack headframe</t>
        </is>
      </c>
      <c r="C116" s="9" t="inlineStr"/>
      <c r="D116" s="9" t="inlineStr">
        <is>
          <t>each</t>
        </is>
      </c>
      <c r="E116" s="10" t="n">
        <v>2964</v>
      </c>
      <c r="F116" s="11" t="n">
        <v>0</v>
      </c>
      <c r="G116" s="12">
        <f>E116*F116</f>
        <v/>
      </c>
      <c r="H116" s="7" t="inlineStr"/>
    </row>
    <row r="117" ht="26" customHeight="1">
      <c r="A117" s="7" t="inlineStr">
        <is>
          <t>W13338</t>
        </is>
      </c>
      <c r="B117" s="8" t="inlineStr">
        <is>
          <t>TUFT or turret style Antenna Single Stack headframe</t>
        </is>
      </c>
      <c r="C117" s="9" t="inlineStr"/>
      <c r="D117" s="9" t="inlineStr">
        <is>
          <t>each</t>
        </is>
      </c>
      <c r="E117" s="10" t="n">
        <v>2184</v>
      </c>
      <c r="F117" s="11" t="n">
        <v>0</v>
      </c>
      <c r="G117" s="12">
        <f>E117*F117</f>
        <v/>
      </c>
      <c r="H117" s="7" t="inlineStr"/>
    </row>
    <row r="118" ht="26" customHeight="1">
      <c r="A118" s="7" t="inlineStr"/>
      <c r="B118" s="8" t="inlineStr">
        <is>
          <t>Additional TUFT or equivalent style Antenna Single Stack POD</t>
        </is>
      </c>
      <c r="C118" s="9" t="inlineStr"/>
      <c r="D118" s="9" t="inlineStr">
        <is>
          <t>each</t>
        </is>
      </c>
      <c r="E118" s="10" t="n">
        <v>2418</v>
      </c>
      <c r="F118" s="11" t="n">
        <v>0</v>
      </c>
      <c r="G118" s="12">
        <f>E118*F118</f>
        <v/>
      </c>
      <c r="H118" s="7" t="inlineStr"/>
    </row>
    <row r="119" ht="26" customHeight="1">
      <c r="A119" s="7" t="inlineStr">
        <is>
          <t>W13349</t>
        </is>
      </c>
      <c r="B119" s="8" t="inlineStr">
        <is>
          <t>Install new Antenna or RRU mounting pipe</t>
        </is>
      </c>
      <c r="C119" s="9" t="inlineStr"/>
      <c r="D119" s="9" t="inlineStr">
        <is>
          <t>each</t>
        </is>
      </c>
      <c r="E119" s="10" t="n">
        <v>375.7</v>
      </c>
      <c r="F119" s="11" t="n">
        <v>0</v>
      </c>
      <c r="G119" s="12">
        <f>E119*F119</f>
        <v/>
      </c>
      <c r="H119" s="7" t="inlineStr"/>
    </row>
    <row r="120" ht="26" customHeight="1">
      <c r="A120" s="7" t="inlineStr"/>
      <c r="B120" s="8" t="inlineStr">
        <is>
          <t>Install new face mounts on existing structure</t>
        </is>
      </c>
      <c r="C120" s="9" t="inlineStr"/>
      <c r="D120" s="9" t="inlineStr">
        <is>
          <t>each</t>
        </is>
      </c>
      <c r="E120" s="10" t="n">
        <v>2184</v>
      </c>
      <c r="F120" s="11" t="n">
        <v>0</v>
      </c>
      <c r="G120" s="12">
        <f>E120*F120</f>
        <v/>
      </c>
      <c r="H120" s="7" t="inlineStr"/>
    </row>
    <row r="121" ht="26" customHeight="1">
      <c r="A121" s="7" t="inlineStr">
        <is>
          <t>W13704</t>
        </is>
      </c>
      <c r="B121" s="8" t="inlineStr">
        <is>
          <t>Headframe Rotation</t>
        </is>
      </c>
      <c r="C121" s="9" t="inlineStr"/>
      <c r="D121" s="9" t="inlineStr">
        <is>
          <t>Each</t>
        </is>
      </c>
      <c r="E121" s="10" t="n">
        <v>0</v>
      </c>
      <c r="F121" s="11" t="n">
        <v>0</v>
      </c>
      <c r="G121" s="12">
        <f>E121*F121</f>
        <v/>
      </c>
      <c r="H121" s="7" t="inlineStr"/>
    </row>
    <row r="122" ht="26" customHeight="1">
      <c r="A122" s="7" t="inlineStr">
        <is>
          <t>W11428</t>
        </is>
      </c>
      <c r="B122" s="8" t="inlineStr">
        <is>
          <t>Antenna Headframe on a New Structure (monopole)</t>
        </is>
      </c>
      <c r="C122" s="9" t="inlineStr"/>
      <c r="D122" s="9" t="inlineStr">
        <is>
          <t>each</t>
        </is>
      </c>
      <c r="E122" s="10" t="n">
        <v>3497</v>
      </c>
      <c r="F122" s="11" t="n">
        <v>0</v>
      </c>
      <c r="G122" s="12">
        <f>E122*F122</f>
        <v/>
      </c>
      <c r="H122" s="7" t="inlineStr"/>
    </row>
    <row r="123" ht="26" customHeight="1">
      <c r="A123" s="7" t="inlineStr">
        <is>
          <t>W8671</t>
        </is>
      </c>
      <c r="B123" s="8" t="inlineStr">
        <is>
          <t>Antenna Headframe on Existing Structure (monopole)</t>
        </is>
      </c>
      <c r="C123" s="9" t="inlineStr"/>
      <c r="D123" s="9" t="inlineStr">
        <is>
          <t>each</t>
        </is>
      </c>
      <c r="E123" s="10" t="n">
        <v>6688.5</v>
      </c>
      <c r="F123" s="11" t="n">
        <v>0</v>
      </c>
      <c r="G123" s="12">
        <f>E123*F123</f>
        <v/>
      </c>
      <c r="H123" s="7" t="inlineStr"/>
    </row>
    <row r="124" ht="26" customHeight="1">
      <c r="A124" s="7" t="inlineStr">
        <is>
          <t>R13160</t>
        </is>
      </c>
      <c r="B124" s="8" t="inlineStr">
        <is>
          <t>Removal and Recovery of Existing Single Turret Headframe</t>
        </is>
      </c>
      <c r="C124" s="9" t="inlineStr"/>
      <c r="D124" s="9" t="inlineStr">
        <is>
          <t>each</t>
        </is>
      </c>
      <c r="E124" s="10" t="n">
        <v>2938</v>
      </c>
      <c r="F124" s="11" t="n">
        <v>0</v>
      </c>
      <c r="G124" s="12">
        <f>E124*F124</f>
        <v/>
      </c>
      <c r="H124" s="7" t="inlineStr"/>
    </row>
    <row r="125" ht="40" customHeight="1">
      <c r="A125" s="7" t="inlineStr">
        <is>
          <t>R13161</t>
        </is>
      </c>
      <c r="B125" s="8" t="inlineStr">
        <is>
          <t>Removal and Recovery of Existing Dual Stacked Turret Headframe</t>
        </is>
      </c>
      <c r="C125" s="9" t="inlineStr"/>
      <c r="D125" s="9" t="inlineStr">
        <is>
          <t>each</t>
        </is>
      </c>
      <c r="E125" s="10" t="n">
        <v>3224</v>
      </c>
      <c r="F125" s="11" t="n">
        <v>0</v>
      </c>
      <c r="G125" s="12">
        <f>E125*F125</f>
        <v/>
      </c>
      <c r="H125" s="7" t="inlineStr"/>
    </row>
    <row r="126" ht="54" customHeight="1">
      <c r="A126" s="7" t="inlineStr">
        <is>
          <t>W13351</t>
        </is>
      </c>
      <c r="B126" s="8" t="inlineStr">
        <is>
          <t>Collar Mount to Monopole comprising all necessary required banding and 3 x up to 3000 long pipes - Std Dwg 017866P133 (Sh6/7/11 or similar) (suitable for RRU, TMA, Antennas, etc)</t>
        </is>
      </c>
      <c r="C126" s="9" t="inlineStr"/>
      <c r="D126" s="9" t="inlineStr">
        <is>
          <t>each</t>
        </is>
      </c>
      <c r="E126" s="10" t="n">
        <v>3718</v>
      </c>
      <c r="F126" s="11" t="n">
        <v>0</v>
      </c>
      <c r="G126" s="12">
        <f>E126*F126</f>
        <v/>
      </c>
      <c r="H126" s="7" t="inlineStr"/>
    </row>
    <row r="127" ht="26" customHeight="1">
      <c r="A127" s="7" t="inlineStr">
        <is>
          <t>R13158</t>
        </is>
      </c>
      <c r="B127" s="8" t="inlineStr">
        <is>
          <t>Removal and Recovery of Existing headframe</t>
        </is>
      </c>
      <c r="C127" s="9" t="inlineStr"/>
      <c r="D127" s="9" t="inlineStr">
        <is>
          <t>each</t>
        </is>
      </c>
      <c r="E127" s="10" t="n">
        <v>3094</v>
      </c>
      <c r="F127" s="11" t="n">
        <v>0</v>
      </c>
      <c r="G127" s="12">
        <f>E127*F127</f>
        <v/>
      </c>
      <c r="H127" s="7" t="inlineStr"/>
    </row>
    <row r="128" ht="26" customHeight="1">
      <c r="A128" s="7" t="inlineStr">
        <is>
          <t>R13160</t>
        </is>
      </c>
      <c r="B128" s="8" t="inlineStr">
        <is>
          <t>Removal and Recovery of Existing Single Turret Headframe</t>
        </is>
      </c>
      <c r="C128" s="9" t="inlineStr"/>
      <c r="D128" s="9" t="inlineStr">
        <is>
          <t>each</t>
        </is>
      </c>
      <c r="E128" s="10" t="n">
        <v>4030</v>
      </c>
      <c r="F128" s="11" t="n">
        <v>0</v>
      </c>
      <c r="G128" s="12">
        <f>E128*F128</f>
        <v/>
      </c>
      <c r="H128" s="7" t="inlineStr"/>
    </row>
    <row r="129" ht="40" customHeight="1">
      <c r="A129" s="7" t="inlineStr">
        <is>
          <t>R13161</t>
        </is>
      </c>
      <c r="B129" s="8" t="inlineStr">
        <is>
          <t>Removal and Recovery of Existing Dual Stacked Turret Headframe</t>
        </is>
      </c>
      <c r="C129" s="9" t="inlineStr"/>
      <c r="D129" s="9" t="inlineStr">
        <is>
          <t>each</t>
        </is>
      </c>
      <c r="E129" s="10" t="n">
        <v>8320</v>
      </c>
      <c r="F129" s="11" t="n">
        <v>0</v>
      </c>
      <c r="G129" s="12">
        <f>E129*F129</f>
        <v/>
      </c>
      <c r="H129" s="7" t="inlineStr"/>
    </row>
    <row r="130" ht="26" customHeight="1">
      <c r="A130" s="7" t="inlineStr">
        <is>
          <t>W11537</t>
        </is>
      </c>
      <c r="B130" s="8" t="inlineStr">
        <is>
          <t>Antenna Mounting Bar Assembly</t>
        </is>
      </c>
      <c r="C130" s="9" t="inlineStr"/>
      <c r="D130" s="9" t="inlineStr"/>
      <c r="E130" s="10" t="n">
        <v>0</v>
      </c>
      <c r="F130" s="11" t="n">
        <v>0</v>
      </c>
      <c r="G130" s="12">
        <f>E130*F130</f>
        <v/>
      </c>
      <c r="H130" s="7" t="inlineStr"/>
    </row>
    <row r="131" ht="24" customHeight="1">
      <c r="A131" s="5" t="inlineStr">
        <is>
          <t>EQUIPMENT INSTALLED IN THE SHELTER</t>
        </is>
      </c>
      <c r="B131" s="6" t="n"/>
      <c r="C131" s="6" t="n"/>
      <c r="D131" s="6" t="n"/>
      <c r="E131" s="6" t="n"/>
      <c r="F131" s="6" t="n"/>
      <c r="G131" s="6" t="n"/>
      <c r="H131" s="6" t="n"/>
    </row>
    <row r="132" ht="26" customHeight="1">
      <c r="A132" s="7" t="inlineStr">
        <is>
          <t>W13706</t>
        </is>
      </c>
      <c r="B132" s="8" t="inlineStr">
        <is>
          <t>Install NR850 Rack</t>
        </is>
      </c>
      <c r="C132" s="9" t="inlineStr"/>
      <c r="D132" s="9" t="inlineStr">
        <is>
          <t>Each</t>
        </is>
      </c>
      <c r="E132" s="10" t="n">
        <v>2548.65</v>
      </c>
      <c r="F132" s="11" t="n">
        <v>0</v>
      </c>
      <c r="G132" s="12">
        <f>E132*F132</f>
        <v/>
      </c>
      <c r="H132" s="7" t="inlineStr"/>
    </row>
    <row r="133" ht="26" customHeight="1">
      <c r="A133" s="7" t="inlineStr">
        <is>
          <t>W13980</t>
        </is>
      </c>
      <c r="B133" s="8" t="inlineStr">
        <is>
          <t>Install Low Band Radio 44XX Rack Fitout</t>
        </is>
      </c>
      <c r="C133" s="9" t="inlineStr"/>
      <c r="D133" s="9" t="inlineStr">
        <is>
          <t>each</t>
        </is>
      </c>
      <c r="E133" s="10" t="n">
        <v>1950</v>
      </c>
      <c r="F133" s="11" t="n">
        <v>0</v>
      </c>
      <c r="G133" s="12">
        <f>E133*F133</f>
        <v/>
      </c>
      <c r="H133" s="7" t="inlineStr"/>
    </row>
    <row r="134" ht="26" customHeight="1">
      <c r="A134" s="7" t="inlineStr">
        <is>
          <t>W13699</t>
        </is>
      </c>
      <c r="B134" s="8" t="inlineStr">
        <is>
          <t>Install ESC (Ericsson Site Controller)</t>
        </is>
      </c>
      <c r="C134" s="9" t="inlineStr"/>
      <c r="D134" s="9" t="inlineStr">
        <is>
          <t>Per unit</t>
        </is>
      </c>
      <c r="E134" s="10" t="n">
        <v>871</v>
      </c>
      <c r="F134" s="11" t="n">
        <v>0</v>
      </c>
      <c r="G134" s="12">
        <f>E134*F134</f>
        <v/>
      </c>
      <c r="H134" s="7" t="inlineStr"/>
    </row>
    <row r="135" ht="26" customHeight="1">
      <c r="A135" s="13" t="inlineStr">
        <is>
          <t>R13701</t>
        </is>
      </c>
      <c r="B135" s="14" t="inlineStr">
        <is>
          <t>Recovery of Baseband Unit, DUS or R503 (or similar)</t>
        </is>
      </c>
      <c r="C135" s="15" t="inlineStr">
        <is>
          <t>REMOVE</t>
        </is>
      </c>
      <c r="D135" s="15" t="inlineStr">
        <is>
          <t>Per unit</t>
        </is>
      </c>
      <c r="E135" s="16" t="n">
        <v>123.5</v>
      </c>
      <c r="F135" s="17" t="n">
        <v>7</v>
      </c>
      <c r="G135" s="18">
        <f>E135*F135</f>
        <v/>
      </c>
      <c r="H135" s="13" t="inlineStr">
        <is>
          <t>Statement: Table row under EQUIPMENT NOTES - PROJECT NO. NA25797.01: REMOVE 3.0x model ERICSSON BB6630 details INSTALLED IN PATHFINDER RACK AT RT/1/1 INSTALLED IN PATHFINDER RACK AT RT/1/1 with ID 15 on sector - -&gt; Rules Applied: None -&gt; Match Reason: The requirement specifies the removal of a Baseband Unit (ERICSSON BB6630), which directly matches the recovery/removal scope for a baseband unit in catalog code R13701. | Statement: Table row under EQUIPMENT NOTES - PROJECT NO. NA25797.01: REMOVE 1.0x model ERICSSON DUW 30 01 details INSTALLED IN PATHFINDER RACK AT RT/1/1 INSTALLED IN PATHFINDER RACK AT RT/1/1 with ID 17 on sector - -&gt; Rules Applied: None -&gt; Match Reason: The requirement calls for removing a Baseband Unit (Ericsson DUW 30 01), which aligns with the catalog item for the recovery of a baseband unit. | Statement: EXISTING TELSTRA BB6630
(3 OFF) TO BE RECOVERED -&gt; Rules Applied: None -&gt; Match Reason: The requirement is to remove/recover an existing Telstra BB6630 Baseband Unit (quantity 3). Candidate R13701 matches the action of recovery and the category of Baseband Unit.</t>
        </is>
      </c>
    </row>
    <row r="136" ht="26" customHeight="1">
      <c r="A136" s="7" t="inlineStr">
        <is>
          <t>W12243</t>
        </is>
      </c>
      <c r="B136" s="8" t="inlineStr">
        <is>
          <t>Internal Surge Protection Device (SPD)</t>
        </is>
      </c>
      <c r="C136" s="9" t="inlineStr"/>
      <c r="D136" s="9" t="inlineStr">
        <is>
          <t>Each</t>
        </is>
      </c>
      <c r="E136" s="10" t="n">
        <v>1047.15</v>
      </c>
      <c r="F136" s="11" t="n">
        <v>0</v>
      </c>
      <c r="G136" s="12">
        <f>E136*F136</f>
        <v/>
      </c>
      <c r="H136" s="7" t="inlineStr"/>
    </row>
    <row r="137" ht="26" customHeight="1">
      <c r="A137" s="7" t="inlineStr">
        <is>
          <t>W12840</t>
        </is>
      </c>
      <c r="B137" s="8" t="inlineStr">
        <is>
          <t>External Surge Protection Device (SPD)</t>
        </is>
      </c>
      <c r="C137" s="9" t="inlineStr"/>
      <c r="D137" s="9" t="inlineStr">
        <is>
          <t>Each</t>
        </is>
      </c>
      <c r="E137" s="10" t="n">
        <v>1164.28</v>
      </c>
      <c r="F137" s="11" t="n">
        <v>0</v>
      </c>
      <c r="G137" s="12">
        <f>E137*F137</f>
        <v/>
      </c>
      <c r="H137" s="7" t="inlineStr"/>
    </row>
    <row r="138" ht="26" customHeight="1">
      <c r="A138" s="7" t="inlineStr">
        <is>
          <t>W13708</t>
        </is>
      </c>
      <c r="B138" s="8" t="inlineStr">
        <is>
          <t>ESC Data reconfiguration</t>
        </is>
      </c>
      <c r="C138" s="9" t="inlineStr"/>
      <c r="D138" s="9" t="inlineStr">
        <is>
          <t>Per Site</t>
        </is>
      </c>
      <c r="E138" s="10" t="n">
        <v>507</v>
      </c>
      <c r="F138" s="11" t="n">
        <v>0</v>
      </c>
      <c r="G138" s="12">
        <f>E138*F138</f>
        <v/>
      </c>
      <c r="H138" s="7" t="inlineStr"/>
    </row>
    <row r="139" ht="26" customHeight="1">
      <c r="A139" s="7" t="inlineStr">
        <is>
          <t>W13707</t>
        </is>
      </c>
      <c r="B139" s="8" t="inlineStr">
        <is>
          <t>Existing Base Band (or similar) - Script Reload</t>
        </is>
      </c>
      <c r="C139" s="9" t="inlineStr"/>
      <c r="D139" s="9" t="inlineStr">
        <is>
          <t>Each</t>
        </is>
      </c>
      <c r="E139" s="10" t="n">
        <v>175.5</v>
      </c>
      <c r="F139" s="11" t="n">
        <v>0</v>
      </c>
      <c r="G139" s="12">
        <f>E139*F139</f>
        <v/>
      </c>
      <c r="H139" s="7" t="inlineStr"/>
    </row>
    <row r="140" ht="26" customHeight="1">
      <c r="A140" s="7" t="inlineStr">
        <is>
          <t>W13674</t>
        </is>
      </c>
      <c r="B140" s="8" t="inlineStr">
        <is>
          <t>Base Band Units (BB) 6630</t>
        </is>
      </c>
      <c r="C140" s="9" t="inlineStr"/>
      <c r="D140" s="9" t="inlineStr">
        <is>
          <t>Each</t>
        </is>
      </c>
      <c r="E140" s="10" t="n">
        <v>422.5</v>
      </c>
      <c r="F140" s="11" t="n">
        <v>0</v>
      </c>
      <c r="G140" s="12">
        <f>E140*F140</f>
        <v/>
      </c>
      <c r="H140" s="7" t="inlineStr"/>
    </row>
    <row r="141" ht="26" customHeight="1">
      <c r="A141" s="7" t="inlineStr">
        <is>
          <t>R12839</t>
        </is>
      </c>
      <c r="B141" s="8" t="inlineStr">
        <is>
          <t>Recovery of Racks</t>
        </is>
      </c>
      <c r="C141" s="9" t="inlineStr"/>
      <c r="D141" s="9" t="inlineStr">
        <is>
          <t>Each</t>
        </is>
      </c>
      <c r="E141" s="10" t="n">
        <v>515.45</v>
      </c>
      <c r="F141" s="11" t="n">
        <v>0</v>
      </c>
      <c r="G141" s="12">
        <f>E141*F141</f>
        <v/>
      </c>
      <c r="H141" s="7" t="inlineStr"/>
    </row>
    <row r="142" ht="26" customHeight="1">
      <c r="A142" s="7" t="inlineStr">
        <is>
          <t>W12553</t>
        </is>
      </c>
      <c r="B142" s="8" t="inlineStr">
        <is>
          <t>Node B (6202)</t>
        </is>
      </c>
      <c r="C142" s="9" t="inlineStr"/>
      <c r="D142" s="9" t="inlineStr">
        <is>
          <t>each</t>
        </is>
      </c>
      <c r="E142" s="10" t="n">
        <v>1677</v>
      </c>
      <c r="F142" s="11" t="n">
        <v>0</v>
      </c>
      <c r="G142" s="12">
        <f>E142*F142</f>
        <v/>
      </c>
      <c r="H142" s="7" t="inlineStr"/>
    </row>
    <row r="143" ht="26" customHeight="1">
      <c r="A143" s="7" t="inlineStr">
        <is>
          <t>W13393</t>
        </is>
      </c>
      <c r="B143" s="8" t="inlineStr">
        <is>
          <t>Install a Site Router or ERAN switch (Eg: R6675, or similar)</t>
        </is>
      </c>
      <c r="C143" s="9" t="inlineStr"/>
      <c r="D143" s="9" t="inlineStr">
        <is>
          <t>Per unit</t>
        </is>
      </c>
      <c r="E143" s="10" t="n">
        <v>422.5</v>
      </c>
      <c r="F143" s="11" t="n">
        <v>0</v>
      </c>
      <c r="G143" s="12">
        <f>E143*F143</f>
        <v/>
      </c>
      <c r="H143" s="7" t="inlineStr"/>
    </row>
    <row r="144" ht="40" customHeight="1">
      <c r="A144" s="7" t="inlineStr">
        <is>
          <t>W13698</t>
        </is>
      </c>
      <c r="B144" s="8" t="inlineStr">
        <is>
          <t>Installation of DWDM module in new/existing DWDM chassis (18 channel (9ch Bidirectional))</t>
        </is>
      </c>
      <c r="C144" s="9" t="inlineStr"/>
      <c r="D144" s="9" t="inlineStr">
        <is>
          <t>Per unit</t>
        </is>
      </c>
      <c r="E144" s="10" t="n">
        <v>468</v>
      </c>
      <c r="F144" s="11" t="n">
        <v>0</v>
      </c>
      <c r="G144" s="12">
        <f>E144*F144</f>
        <v/>
      </c>
      <c r="H144" s="7" t="inlineStr"/>
    </row>
    <row r="145" ht="40" customHeight="1">
      <c r="A145" s="7" t="inlineStr">
        <is>
          <t>W13312</t>
        </is>
      </c>
      <c r="B145" s="8" t="inlineStr">
        <is>
          <t>Installation of DWDM module in new/existing DWDM chassis (6 channel (3ch Bidirectional))</t>
        </is>
      </c>
      <c r="C145" s="9" t="inlineStr"/>
      <c r="D145" s="9" t="inlineStr">
        <is>
          <t>Per unit</t>
        </is>
      </c>
      <c r="E145" s="10" t="n">
        <v>240.5</v>
      </c>
      <c r="F145" s="11" t="n">
        <v>0</v>
      </c>
      <c r="G145" s="12">
        <f>E145*F145</f>
        <v/>
      </c>
      <c r="H145" s="7" t="inlineStr"/>
    </row>
    <row r="146" ht="26" customHeight="1">
      <c r="A146" s="7" t="inlineStr"/>
      <c r="B146" s="8" t="inlineStr">
        <is>
          <t>Installation of DWDM chassis</t>
        </is>
      </c>
      <c r="C146" s="9" t="inlineStr"/>
      <c r="D146" s="9" t="inlineStr">
        <is>
          <t>Per unit</t>
        </is>
      </c>
      <c r="E146" s="10" t="n">
        <v>117</v>
      </c>
      <c r="F146" s="11" t="n">
        <v>0</v>
      </c>
      <c r="G146" s="12">
        <f>E146*F146</f>
        <v/>
      </c>
      <c r="H146" s="7" t="inlineStr"/>
    </row>
    <row r="147" ht="26" customHeight="1">
      <c r="A147" s="13" t="inlineStr">
        <is>
          <t>W13700</t>
        </is>
      </c>
      <c r="B147" s="14" t="inlineStr">
        <is>
          <t>Relocate Site Cell Router (e.g. SIU)</t>
        </is>
      </c>
      <c r="C147" s="15" t="inlineStr">
        <is>
          <t>RELOCATE</t>
        </is>
      </c>
      <c r="D147" s="15" t="inlineStr">
        <is>
          <t>Per unit</t>
        </is>
      </c>
      <c r="E147" s="16" t="n">
        <v>188.5</v>
      </c>
      <c r="F147" s="17" t="n">
        <v>1</v>
      </c>
      <c r="G147" s="18">
        <f>E147*F147</f>
        <v/>
      </c>
      <c r="H147" s="13" t="inlineStr">
        <is>
          <t>Statement: Table row under EQUIPMENT NOTES - PROJECT NO. NA25797.01: RELOCATE 1.0x model ERICSSON R6675 ROUTER details TO BE RELOCATED IN PATHFINDER RACK RT/1/1 TO BE RELOCATED IN PATHFINDER RACK RT/1/1 with ID 20 on sector - -&gt; Rules Applied: None -&gt; Match Reason: The requirement specifies the action 'RELOCATE' for an entity type 'ROUTER' (specifically model ERICSSON R6675). Candidate W13700 matches the relocation of a site cell router, whereas candidate W13393 is for installation.</t>
        </is>
      </c>
    </row>
    <row r="148" ht="26" customHeight="1">
      <c r="A148" s="7" t="inlineStr"/>
      <c r="B148" s="8" t="inlineStr">
        <is>
          <t>RBS6601 Recovery and return</t>
        </is>
      </c>
      <c r="C148" s="9" t="inlineStr"/>
      <c r="D148" s="9" t="inlineStr">
        <is>
          <t>per unit</t>
        </is>
      </c>
      <c r="E148" s="10" t="n">
        <v>162.5</v>
      </c>
      <c r="F148" s="11" t="n">
        <v>0</v>
      </c>
      <c r="G148" s="12">
        <f>E148*F148</f>
        <v/>
      </c>
      <c r="H148" s="7" t="inlineStr"/>
    </row>
    <row r="149" ht="26" customHeight="1">
      <c r="A149" s="7" t="inlineStr">
        <is>
          <t>W11785</t>
        </is>
      </c>
      <c r="B149" s="8" t="inlineStr">
        <is>
          <t>Install and commission DUS/DUW</t>
        </is>
      </c>
      <c r="C149" s="9" t="inlineStr"/>
      <c r="D149" s="9" t="inlineStr">
        <is>
          <t>per unit</t>
        </is>
      </c>
      <c r="E149" s="10" t="n">
        <v>247</v>
      </c>
      <c r="F149" s="11" t="n">
        <v>0</v>
      </c>
      <c r="G149" s="12">
        <f>E149*F149</f>
        <v/>
      </c>
      <c r="H149" s="7" t="inlineStr"/>
    </row>
    <row r="150" ht="26" customHeight="1">
      <c r="A150" s="7" t="inlineStr">
        <is>
          <t>W13702</t>
        </is>
      </c>
      <c r="B150" s="8" t="inlineStr">
        <is>
          <t>External Surge Protection Device (SPD) Augmentation Box</t>
        </is>
      </c>
      <c r="C150" s="9" t="inlineStr"/>
      <c r="D150" s="9" t="inlineStr">
        <is>
          <t>Each</t>
        </is>
      </c>
      <c r="E150" s="10" t="n">
        <v>799.5</v>
      </c>
      <c r="F150" s="11" t="n">
        <v>0</v>
      </c>
      <c r="G150" s="12">
        <f>E150*F150</f>
        <v/>
      </c>
      <c r="H150" s="7" t="inlineStr"/>
    </row>
    <row r="151" ht="26" customHeight="1">
      <c r="A151" s="7" t="inlineStr">
        <is>
          <t>W13703</t>
        </is>
      </c>
      <c r="B151" s="8" t="inlineStr">
        <is>
          <t>Internal Surge Protection Device (SPD) Augmentation Box</t>
        </is>
      </c>
      <c r="C151" s="9" t="inlineStr"/>
      <c r="D151" s="9" t="inlineStr">
        <is>
          <t>Each</t>
        </is>
      </c>
      <c r="E151" s="10" t="n">
        <v>721.5</v>
      </c>
      <c r="F151" s="11" t="n">
        <v>0</v>
      </c>
      <c r="G151" s="12">
        <f>E151*F151</f>
        <v/>
      </c>
      <c r="H151" s="7" t="inlineStr"/>
    </row>
    <row r="152" ht="26" customHeight="1">
      <c r="A152" s="7" t="inlineStr">
        <is>
          <t>W11781</t>
        </is>
      </c>
      <c r="B152" s="8" t="inlineStr">
        <is>
          <t>Miscellaneous Rack</t>
        </is>
      </c>
      <c r="C152" s="9" t="inlineStr"/>
      <c r="D152" s="9" t="inlineStr">
        <is>
          <t>each</t>
        </is>
      </c>
      <c r="E152" s="10" t="n">
        <v>550.16</v>
      </c>
      <c r="F152" s="11" t="n">
        <v>0</v>
      </c>
      <c r="G152" s="12">
        <f>E152*F152</f>
        <v/>
      </c>
      <c r="H152" s="7" t="inlineStr"/>
    </row>
    <row r="153" ht="26" customHeight="1">
      <c r="A153" s="7" t="inlineStr">
        <is>
          <t>W12239</t>
        </is>
      </c>
      <c r="B153" s="8" t="inlineStr">
        <is>
          <t>Radio Donor Rack</t>
        </is>
      </c>
      <c r="C153" s="9" t="inlineStr"/>
      <c r="D153" s="9" t="inlineStr">
        <is>
          <t>each</t>
        </is>
      </c>
      <c r="E153" s="10" t="n">
        <v>552.6</v>
      </c>
      <c r="F153" s="11" t="n">
        <v>0</v>
      </c>
      <c r="G153" s="12">
        <f>E153*F153</f>
        <v/>
      </c>
      <c r="H153" s="7" t="inlineStr"/>
    </row>
    <row r="154" ht="26" customHeight="1">
      <c r="A154" s="7" t="inlineStr">
        <is>
          <t>W13163</t>
        </is>
      </c>
      <c r="B154" s="8" t="inlineStr">
        <is>
          <t>One (1) new MTP patch panel in existing or new Rack</t>
        </is>
      </c>
      <c r="C154" s="9" t="inlineStr"/>
      <c r="D154" s="9" t="inlineStr">
        <is>
          <t>each</t>
        </is>
      </c>
      <c r="E154" s="10" t="n">
        <v>178.1</v>
      </c>
      <c r="F154" s="11" t="n">
        <v>0</v>
      </c>
      <c r="G154" s="12">
        <f>E154*F154</f>
        <v/>
      </c>
      <c r="H154" s="7" t="inlineStr"/>
    </row>
    <row r="155" ht="26" customHeight="1">
      <c r="A155" s="7" t="inlineStr">
        <is>
          <t>W13164</t>
        </is>
      </c>
      <c r="B155" s="8" t="inlineStr">
        <is>
          <t>Two (2) new MTP patch panels in existing or new Racks</t>
        </is>
      </c>
      <c r="C155" s="9" t="inlineStr"/>
      <c r="D155" s="9" t="inlineStr">
        <is>
          <t>each</t>
        </is>
      </c>
      <c r="E155" s="10" t="n">
        <v>366.6</v>
      </c>
      <c r="F155" s="11" t="n">
        <v>0</v>
      </c>
      <c r="G155" s="12">
        <f>E155*F155</f>
        <v/>
      </c>
      <c r="H155" s="7" t="inlineStr"/>
    </row>
    <row r="156" ht="26" customHeight="1">
      <c r="A156" s="7" t="inlineStr">
        <is>
          <t>W13165</t>
        </is>
      </c>
      <c r="B156" s="8" t="inlineStr">
        <is>
          <t>Relocate existing Card (RBS6601).</t>
        </is>
      </c>
      <c r="C156" s="9" t="inlineStr"/>
      <c r="D156" s="9" t="inlineStr">
        <is>
          <t>each</t>
        </is>
      </c>
      <c r="E156" s="10" t="n">
        <v>187.2</v>
      </c>
      <c r="F156" s="11" t="n">
        <v>0</v>
      </c>
      <c r="G156" s="12">
        <f>E156*F156</f>
        <v/>
      </c>
      <c r="H156" s="7" t="inlineStr"/>
    </row>
    <row r="157" ht="26" customHeight="1">
      <c r="A157" s="7" t="inlineStr">
        <is>
          <t>W13166</t>
        </is>
      </c>
      <c r="B157" s="8" t="inlineStr">
        <is>
          <t>Relocate existing SPD up to 10 metres</t>
        </is>
      </c>
      <c r="C157" s="9" t="inlineStr"/>
      <c r="D157" s="9" t="inlineStr">
        <is>
          <t>each</t>
        </is>
      </c>
      <c r="E157" s="10" t="n">
        <v>1267.5</v>
      </c>
      <c r="F157" s="11" t="n">
        <v>0</v>
      </c>
      <c r="G157" s="12">
        <f>E157*F157</f>
        <v/>
      </c>
      <c r="H157" s="7" t="inlineStr"/>
    </row>
    <row r="158" ht="26" customHeight="1">
      <c r="A158" s="7" t="inlineStr">
        <is>
          <t>R13167</t>
        </is>
      </c>
      <c r="B158" s="8" t="inlineStr">
        <is>
          <t>Replace SPD</t>
        </is>
      </c>
      <c r="C158" s="9" t="inlineStr"/>
      <c r="D158" s="9" t="inlineStr">
        <is>
          <t>each</t>
        </is>
      </c>
      <c r="E158" s="10" t="n">
        <v>1190.28</v>
      </c>
      <c r="F158" s="11" t="n">
        <v>0</v>
      </c>
      <c r="G158" s="12">
        <f>E158*F158</f>
        <v/>
      </c>
      <c r="H158" s="7" t="inlineStr"/>
    </row>
    <row r="159" ht="26" customHeight="1">
      <c r="A159" s="7" t="inlineStr">
        <is>
          <t>R13168</t>
        </is>
      </c>
      <c r="B159" s="8" t="inlineStr">
        <is>
          <t>Remove and Recover redundant SPD</t>
        </is>
      </c>
      <c r="C159" s="9" t="inlineStr"/>
      <c r="D159" s="9" t="inlineStr">
        <is>
          <t>each</t>
        </is>
      </c>
      <c r="E159" s="10" t="n">
        <v>256.75</v>
      </c>
      <c r="F159" s="11" t="n">
        <v>0</v>
      </c>
      <c r="G159" s="12">
        <f>E159*F159</f>
        <v/>
      </c>
      <c r="H159" s="7" t="inlineStr"/>
    </row>
    <row r="160" ht="26" customHeight="1">
      <c r="A160" s="7" t="inlineStr">
        <is>
          <t>R13169</t>
        </is>
      </c>
      <c r="B160" s="8" t="inlineStr">
        <is>
          <t>Removal and Recover internal Filter or Combiner</t>
        </is>
      </c>
      <c r="C160" s="9" t="inlineStr"/>
      <c r="D160" s="9" t="inlineStr">
        <is>
          <t>each</t>
        </is>
      </c>
      <c r="E160" s="10" t="n">
        <v>72.09999999999999</v>
      </c>
      <c r="F160" s="11" t="n">
        <v>0</v>
      </c>
      <c r="G160" s="12">
        <f>E160*F160</f>
        <v/>
      </c>
      <c r="H160" s="7" t="inlineStr"/>
    </row>
    <row r="161" ht="26" customHeight="1">
      <c r="A161" s="7" t="inlineStr">
        <is>
          <t>W13170</t>
        </is>
      </c>
      <c r="B161" s="8" t="inlineStr">
        <is>
          <t>Relocate internal Filter or Combiner</t>
        </is>
      </c>
      <c r="C161" s="9" t="inlineStr"/>
      <c r="D161" s="9" t="inlineStr">
        <is>
          <t>each</t>
        </is>
      </c>
      <c r="E161" s="10" t="n">
        <v>97.5</v>
      </c>
      <c r="F161" s="11" t="n">
        <v>0</v>
      </c>
      <c r="G161" s="12">
        <f>E161*F161</f>
        <v/>
      </c>
      <c r="H161" s="7" t="inlineStr"/>
    </row>
    <row r="162" ht="26" customHeight="1">
      <c r="A162" s="7" t="inlineStr">
        <is>
          <t>W13171</t>
        </is>
      </c>
      <c r="B162" s="8" t="inlineStr">
        <is>
          <t>Relocate Equipment Rack</t>
        </is>
      </c>
      <c r="C162" s="9" t="inlineStr"/>
      <c r="D162" s="9" t="inlineStr">
        <is>
          <t>each</t>
        </is>
      </c>
      <c r="E162" s="10" t="n">
        <v>451.1</v>
      </c>
      <c r="F162" s="11" t="n">
        <v>0</v>
      </c>
      <c r="G162" s="12">
        <f>E162*F162</f>
        <v/>
      </c>
      <c r="H162" s="7" t="inlineStr"/>
    </row>
    <row r="163" ht="26" customHeight="1">
      <c r="A163" s="7" t="inlineStr">
        <is>
          <t>W13172</t>
        </is>
      </c>
      <c r="B163" s="8" t="inlineStr">
        <is>
          <t>Relocate 6000 series RBS</t>
        </is>
      </c>
      <c r="C163" s="9" t="inlineStr"/>
      <c r="D163" s="9" t="inlineStr">
        <is>
          <t>each</t>
        </is>
      </c>
      <c r="E163" s="10" t="n">
        <v>1417</v>
      </c>
      <c r="F163" s="11" t="n">
        <v>0</v>
      </c>
      <c r="G163" s="12">
        <f>E163*F163</f>
        <v/>
      </c>
      <c r="H163" s="7" t="inlineStr"/>
    </row>
    <row r="164" ht="26" customHeight="1">
      <c r="A164" s="7" t="inlineStr">
        <is>
          <t>W13173</t>
        </is>
      </c>
      <c r="B164" s="8" t="inlineStr">
        <is>
          <t>Relocate 3000 series RBS</t>
        </is>
      </c>
      <c r="C164" s="9" t="inlineStr"/>
      <c r="D164" s="9" t="inlineStr">
        <is>
          <t>each</t>
        </is>
      </c>
      <c r="E164" s="10" t="n">
        <v>2197</v>
      </c>
      <c r="F164" s="11" t="n">
        <v>0</v>
      </c>
      <c r="G164" s="12">
        <f>E164*F164</f>
        <v/>
      </c>
      <c r="H164" s="7" t="inlineStr"/>
    </row>
    <row r="165" ht="26" customHeight="1">
      <c r="A165" s="7" t="inlineStr"/>
      <c r="B165" s="8" t="inlineStr">
        <is>
          <t>CRAN site integration</t>
        </is>
      </c>
      <c r="C165" s="9" t="inlineStr"/>
      <c r="D165" s="9" t="inlineStr">
        <is>
          <t>site</t>
        </is>
      </c>
      <c r="E165" s="10" t="n">
        <v>1664</v>
      </c>
      <c r="F165" s="11" t="n">
        <v>0</v>
      </c>
      <c r="G165" s="12">
        <f>E165*F165</f>
        <v/>
      </c>
      <c r="H165" s="7" t="inlineStr"/>
    </row>
    <row r="166" ht="40" customHeight="1">
      <c r="A166" s="7" t="inlineStr">
        <is>
          <t>W11784</t>
        </is>
      </c>
      <c r="B166" s="8" t="inlineStr">
        <is>
          <t>Call / Data Test for 3G installation (first carrier per sector only)</t>
        </is>
      </c>
      <c r="C166" s="9" t="inlineStr"/>
      <c r="D166" s="9" t="inlineStr">
        <is>
          <t>per sector</t>
        </is>
      </c>
      <c r="E166" s="10" t="n">
        <v>104</v>
      </c>
      <c r="F166" s="11" t="n">
        <v>0</v>
      </c>
      <c r="G166" s="12">
        <f>E166*F166</f>
        <v/>
      </c>
      <c r="H166" s="7" t="inlineStr"/>
    </row>
    <row r="167" ht="40" customHeight="1">
      <c r="A167" s="7" t="inlineStr">
        <is>
          <t>W13399</t>
        </is>
      </c>
      <c r="B167" s="8" t="inlineStr">
        <is>
          <t>Call / Data Test for 3G installation (extra over first carrier per sector for each subsequent carrier per sector)</t>
        </is>
      </c>
      <c r="C167" s="9" t="inlineStr"/>
      <c r="D167" s="9" t="inlineStr">
        <is>
          <t>Per sector / carrier</t>
        </is>
      </c>
      <c r="E167" s="10" t="n">
        <v>84.5</v>
      </c>
      <c r="F167" s="11" t="n">
        <v>0</v>
      </c>
      <c r="G167" s="12">
        <f>E167*F167</f>
        <v/>
      </c>
      <c r="H167" s="7" t="inlineStr"/>
    </row>
    <row r="168" ht="54" customHeight="1">
      <c r="A168" s="7" t="inlineStr">
        <is>
          <t>W13374</t>
        </is>
      </c>
      <c r="B168" s="8" t="inlineStr">
        <is>
          <t>Testing of 4G/5G Installation using Blackbird App including all required Call / Data Tests (first carrier per sector only)</t>
        </is>
      </c>
      <c r="C168" s="9" t="inlineStr"/>
      <c r="D168" s="9" t="inlineStr">
        <is>
          <t>Per sector</t>
        </is>
      </c>
      <c r="E168" s="10" t="n">
        <v>110.5</v>
      </c>
      <c r="F168" s="11" t="n">
        <v>0</v>
      </c>
      <c r="G168" s="12">
        <f>E168*F168</f>
        <v/>
      </c>
      <c r="H168" s="7" t="inlineStr"/>
    </row>
    <row r="169" ht="54" customHeight="1">
      <c r="A169" s="7" t="inlineStr">
        <is>
          <t>W13400</t>
        </is>
      </c>
      <c r="B169" s="8" t="inlineStr">
        <is>
          <t>Testing of 4G/5G Installation using Blackbird App including all required Call / Data Tests (extra over first carrier per sector for each subsequent carrier per sector)</t>
        </is>
      </c>
      <c r="C169" s="9" t="inlineStr"/>
      <c r="D169" s="9" t="inlineStr">
        <is>
          <t>Per sector / carrier</t>
        </is>
      </c>
      <c r="E169" s="10" t="n">
        <v>91</v>
      </c>
      <c r="F169" s="11" t="n">
        <v>0</v>
      </c>
      <c r="G169" s="12">
        <f>E169*F169</f>
        <v/>
      </c>
      <c r="H169" s="7" t="inlineStr"/>
    </row>
    <row r="170" ht="26" customHeight="1">
      <c r="A170" s="7" t="inlineStr">
        <is>
          <t>W13709</t>
        </is>
      </c>
      <c r="B170" s="8" t="inlineStr">
        <is>
          <t>Install Enatel 4kW DC/DC converter</t>
        </is>
      </c>
      <c r="C170" s="9" t="inlineStr"/>
      <c r="D170" s="9" t="inlineStr">
        <is>
          <t>each</t>
        </is>
      </c>
      <c r="E170" s="10" t="n">
        <v>1073.8</v>
      </c>
      <c r="F170" s="11" t="n">
        <v>0</v>
      </c>
      <c r="G170" s="12">
        <f>E170*F170</f>
        <v/>
      </c>
      <c r="H170" s="7" t="inlineStr"/>
    </row>
    <row r="171" ht="26" customHeight="1">
      <c r="A171" s="7" t="inlineStr">
        <is>
          <t>W13372</t>
        </is>
      </c>
      <c r="B171" s="8" t="inlineStr">
        <is>
          <t>DC Power - SP18 / SP22 / SP33 Power System</t>
        </is>
      </c>
      <c r="C171" s="9" t="inlineStr"/>
      <c r="D171" s="9" t="inlineStr">
        <is>
          <t>each</t>
        </is>
      </c>
      <c r="E171" s="10" t="n">
        <v>2405</v>
      </c>
      <c r="F171" s="11" t="n">
        <v>0</v>
      </c>
      <c r="G171" s="12">
        <f>E171*F171</f>
        <v/>
      </c>
      <c r="H171" s="7" t="inlineStr"/>
    </row>
    <row r="172" ht="26" customHeight="1">
      <c r="A172" s="7" t="inlineStr">
        <is>
          <t>W7527</t>
        </is>
      </c>
      <c r="B172" s="8" t="inlineStr">
        <is>
          <t>DC Power - 48V Power System (Flatpack 2 or equivalent)</t>
        </is>
      </c>
      <c r="C172" s="9" t="inlineStr"/>
      <c r="D172" s="9" t="inlineStr">
        <is>
          <t>each</t>
        </is>
      </c>
      <c r="E172" s="10" t="n">
        <v>1625</v>
      </c>
      <c r="F172" s="11" t="n">
        <v>0</v>
      </c>
      <c r="G172" s="12">
        <f>E172*F172</f>
        <v/>
      </c>
      <c r="H172" s="7" t="inlineStr"/>
    </row>
    <row r="173" ht="40" customHeight="1">
      <c r="A173" s="7" t="inlineStr">
        <is>
          <t>W7529</t>
        </is>
      </c>
      <c r="B173" s="8" t="inlineStr">
        <is>
          <t>DC Power - Additional Rectifier Module into existing power system</t>
        </is>
      </c>
      <c r="C173" s="9" t="inlineStr"/>
      <c r="D173" s="9" t="inlineStr">
        <is>
          <t>each</t>
        </is>
      </c>
      <c r="E173" s="10" t="n">
        <v>68.25</v>
      </c>
      <c r="F173" s="11" t="n">
        <v>0</v>
      </c>
      <c r="G173" s="12">
        <f>E173*F173</f>
        <v/>
      </c>
      <c r="H173" s="7" t="inlineStr"/>
    </row>
    <row r="174" ht="26" customHeight="1">
      <c r="A174" s="7" t="inlineStr">
        <is>
          <t>R12516</t>
        </is>
      </c>
      <c r="B174" s="8" t="inlineStr">
        <is>
          <t>DC Power – Remove and Recover existing battery string</t>
        </is>
      </c>
      <c r="C174" s="9" t="inlineStr"/>
      <c r="D174" s="9" t="inlineStr">
        <is>
          <t>each</t>
        </is>
      </c>
      <c r="E174" s="10" t="n">
        <v>189.15</v>
      </c>
      <c r="F174" s="11" t="n">
        <v>0</v>
      </c>
      <c r="G174" s="12">
        <f>E174*F174</f>
        <v/>
      </c>
      <c r="H174" s="7" t="inlineStr"/>
    </row>
    <row r="175" ht="40" customHeight="1">
      <c r="A175" s="7" t="inlineStr">
        <is>
          <t>W7528</t>
        </is>
      </c>
      <c r="B175" s="8" t="inlineStr">
        <is>
          <t>DC Power - Battery String into existing rectifier / battery cabinet</t>
        </is>
      </c>
      <c r="C175" s="9" t="inlineStr"/>
      <c r="D175" s="9" t="inlineStr">
        <is>
          <t>each</t>
        </is>
      </c>
      <c r="E175" s="10" t="n">
        <v>216.45</v>
      </c>
      <c r="F175" s="11" t="n">
        <v>0</v>
      </c>
      <c r="G175" s="12">
        <f>E175*F175</f>
        <v/>
      </c>
      <c r="H175" s="7" t="inlineStr"/>
    </row>
    <row r="176" ht="26" customHeight="1">
      <c r="A176" s="7" t="inlineStr">
        <is>
          <t>W12802</t>
        </is>
      </c>
      <c r="B176" s="8" t="inlineStr">
        <is>
          <t>DC/DC Converter – in Existing Power System</t>
        </is>
      </c>
      <c r="C176" s="9" t="inlineStr"/>
      <c r="D176" s="9" t="inlineStr">
        <is>
          <t>each</t>
        </is>
      </c>
      <c r="E176" s="10" t="n">
        <v>1008.8</v>
      </c>
      <c r="F176" s="11" t="n">
        <v>0</v>
      </c>
      <c r="G176" s="12">
        <f>E176*F176</f>
        <v/>
      </c>
      <c r="H176" s="7" t="inlineStr"/>
    </row>
    <row r="177" ht="26" customHeight="1">
      <c r="A177" s="7" t="inlineStr">
        <is>
          <t>W12803</t>
        </is>
      </c>
      <c r="B177" s="8" t="inlineStr">
        <is>
          <t>DC/DC Converter – in Existing Power System</t>
        </is>
      </c>
      <c r="C177" s="9" t="inlineStr"/>
      <c r="D177" s="9" t="inlineStr">
        <is>
          <t>each</t>
        </is>
      </c>
      <c r="E177" s="10" t="n">
        <v>72.8</v>
      </c>
      <c r="F177" s="11" t="n">
        <v>0</v>
      </c>
      <c r="G177" s="12">
        <f>E177*F177</f>
        <v/>
      </c>
      <c r="H177" s="7" t="inlineStr"/>
    </row>
    <row r="178" ht="26" customHeight="1">
      <c r="A178" s="7" t="inlineStr">
        <is>
          <t>W13179</t>
        </is>
      </c>
      <c r="B178" s="8" t="inlineStr">
        <is>
          <t>Battery Expansion Rack</t>
        </is>
      </c>
      <c r="C178" s="9" t="inlineStr"/>
      <c r="D178" s="9" t="inlineStr">
        <is>
          <t>each</t>
        </is>
      </c>
      <c r="E178" s="10" t="n">
        <v>635.7</v>
      </c>
      <c r="F178" s="11" t="n">
        <v>0</v>
      </c>
      <c r="G178" s="12">
        <f>E178*F178</f>
        <v/>
      </c>
      <c r="H178" s="7" t="inlineStr"/>
    </row>
    <row r="179" ht="26" customHeight="1">
      <c r="A179" s="7" t="inlineStr">
        <is>
          <t>W13180</t>
        </is>
      </c>
      <c r="B179" s="8" t="inlineStr">
        <is>
          <t>Relocate an existing Power System within the existing Hut</t>
        </is>
      </c>
      <c r="C179" s="9" t="inlineStr"/>
      <c r="D179" s="9" t="inlineStr">
        <is>
          <t>each</t>
        </is>
      </c>
      <c r="E179" s="10" t="n">
        <v>2158</v>
      </c>
      <c r="F179" s="11" t="n">
        <v>0</v>
      </c>
      <c r="G179" s="12">
        <f>E179*F179</f>
        <v/>
      </c>
      <c r="H179" s="7" t="inlineStr"/>
    </row>
    <row r="180" ht="26" customHeight="1">
      <c r="A180" s="7" t="inlineStr">
        <is>
          <t>R12517</t>
        </is>
      </c>
      <c r="B180" s="8" t="inlineStr">
        <is>
          <t>Recover Power Racks</t>
        </is>
      </c>
      <c r="C180" s="9" t="inlineStr"/>
      <c r="D180" s="9" t="inlineStr">
        <is>
          <t>each</t>
        </is>
      </c>
      <c r="E180" s="10" t="n">
        <v>425.1</v>
      </c>
      <c r="F180" s="11" t="n">
        <v>0</v>
      </c>
      <c r="G180" s="12">
        <f>E180*F180</f>
        <v/>
      </c>
      <c r="H180" s="7" t="inlineStr"/>
    </row>
    <row r="181" ht="40" customHeight="1">
      <c r="A181" s="7" t="inlineStr">
        <is>
          <t>W13373</t>
        </is>
      </c>
      <c r="B181" s="8" t="inlineStr">
        <is>
          <t>Cut over existing DC power load from existing power cabinet and reconnect it to the new power rack</t>
        </is>
      </c>
      <c r="C181" s="9" t="inlineStr"/>
      <c r="D181" s="9" t="inlineStr">
        <is>
          <t>Per Unit</t>
        </is>
      </c>
      <c r="E181" s="10" t="n">
        <v>643.5</v>
      </c>
      <c r="F181" s="11" t="n">
        <v>0</v>
      </c>
      <c r="G181" s="12">
        <f>E181*F181</f>
        <v/>
      </c>
      <c r="H181" s="7" t="inlineStr"/>
    </row>
    <row r="182" ht="26" customHeight="1">
      <c r="A182" s="7" t="inlineStr">
        <is>
          <t>W13655</t>
        </is>
      </c>
      <c r="B182" s="8" t="inlineStr">
        <is>
          <t>Install Fully Equipped Rack for 4x4 low band design</t>
        </is>
      </c>
      <c r="C182" s="9" t="inlineStr"/>
      <c r="D182" s="9" t="inlineStr">
        <is>
          <t>each</t>
        </is>
      </c>
      <c r="E182" s="10" t="n">
        <v>2197</v>
      </c>
      <c r="F182" s="11" t="n">
        <v>0</v>
      </c>
      <c r="G182" s="12">
        <f>E182*F182</f>
        <v/>
      </c>
      <c r="H182" s="7" t="inlineStr"/>
    </row>
    <row r="183" ht="26" customHeight="1">
      <c r="A183" s="7" t="inlineStr"/>
      <c r="B183" s="8" t="inlineStr">
        <is>
          <t>AC power works</t>
        </is>
      </c>
      <c r="C183" s="9" t="inlineStr"/>
      <c r="D183" s="9" t="inlineStr">
        <is>
          <t>site</t>
        </is>
      </c>
      <c r="E183" s="10" t="n">
        <v>0</v>
      </c>
      <c r="F183" s="11" t="n">
        <v>0</v>
      </c>
      <c r="G183" s="12">
        <f>E183*F183</f>
        <v/>
      </c>
      <c r="H183" s="7" t="inlineStr"/>
    </row>
    <row r="184" ht="26" customHeight="1">
      <c r="A184" s="7" t="inlineStr"/>
      <c r="B184" s="8" t="inlineStr">
        <is>
          <t>RRU installed in shelter</t>
        </is>
      </c>
      <c r="C184" s="9" t="inlineStr"/>
      <c r="D184" s="9" t="inlineStr">
        <is>
          <t>each</t>
        </is>
      </c>
      <c r="E184" s="10" t="n">
        <v>475</v>
      </c>
      <c r="F184" s="11" t="n">
        <v>0</v>
      </c>
      <c r="G184" s="12">
        <f>E184*F184</f>
        <v/>
      </c>
      <c r="H184" s="7" t="inlineStr"/>
    </row>
    <row r="185" ht="26" customHeight="1">
      <c r="A185" s="7" t="inlineStr"/>
      <c r="B185" s="8" t="inlineStr">
        <is>
          <t>RRU recovery from shelter</t>
        </is>
      </c>
      <c r="C185" s="9" t="inlineStr"/>
      <c r="D185" s="9" t="inlineStr">
        <is>
          <t>each</t>
        </is>
      </c>
      <c r="E185" s="10" t="n">
        <v>225</v>
      </c>
      <c r="F185" s="11" t="n">
        <v>0</v>
      </c>
      <c r="G185" s="12">
        <f>E185*F185</f>
        <v/>
      </c>
      <c r="H185" s="7" t="inlineStr"/>
    </row>
    <row r="186" ht="26" customHeight="1">
      <c r="A186" s="7" t="inlineStr"/>
      <c r="B186" s="8" t="inlineStr">
        <is>
          <t>Quad band filter installed in shelter</t>
        </is>
      </c>
      <c r="C186" s="9" t="inlineStr"/>
      <c r="D186" s="9" t="inlineStr">
        <is>
          <t>each</t>
        </is>
      </c>
      <c r="E186" s="10" t="n">
        <v>375</v>
      </c>
      <c r="F186" s="11" t="n">
        <v>0</v>
      </c>
      <c r="G186" s="12">
        <f>E186*F186</f>
        <v/>
      </c>
      <c r="H186" s="7" t="inlineStr"/>
    </row>
    <row r="187" ht="26" customHeight="1">
      <c r="A187" s="7" t="inlineStr"/>
      <c r="B187" s="8" t="inlineStr">
        <is>
          <t>DCDU installation</t>
        </is>
      </c>
      <c r="C187" s="9" t="inlineStr"/>
      <c r="D187" s="9" t="inlineStr">
        <is>
          <t>each</t>
        </is>
      </c>
      <c r="E187" s="10" t="n">
        <v>175.6</v>
      </c>
      <c r="F187" s="11" t="n">
        <v>0</v>
      </c>
      <c r="G187" s="12">
        <f>E187*F187</f>
        <v/>
      </c>
      <c r="H187" s="7" t="inlineStr"/>
    </row>
    <row r="188" ht="26" customHeight="1">
      <c r="A188" s="7" t="inlineStr">
        <is>
          <t>W10376</t>
        </is>
      </c>
      <c r="B188" s="8" t="inlineStr">
        <is>
          <t>Install optical fibre patch panel</t>
        </is>
      </c>
      <c r="C188" s="9" t="inlineStr"/>
      <c r="D188" s="9" t="inlineStr">
        <is>
          <t>Each</t>
        </is>
      </c>
      <c r="E188" s="10" t="n">
        <v>51</v>
      </c>
      <c r="F188" s="11" t="n">
        <v>0</v>
      </c>
      <c r="G188" s="12">
        <f>E188*F188</f>
        <v/>
      </c>
      <c r="H188" s="7" t="inlineStr"/>
    </row>
    <row r="189" ht="26" customHeight="1">
      <c r="A189" s="7" t="inlineStr"/>
      <c r="B189" s="8" t="inlineStr">
        <is>
          <t>Replace VAK00019 Filter</t>
        </is>
      </c>
      <c r="C189" s="9" t="inlineStr"/>
      <c r="D189" s="9" t="inlineStr">
        <is>
          <t>each</t>
        </is>
      </c>
      <c r="E189" s="10" t="n">
        <v>115</v>
      </c>
      <c r="F189" s="11" t="n">
        <v>0</v>
      </c>
      <c r="G189" s="12">
        <f>E189*F189</f>
        <v/>
      </c>
      <c r="H189" s="7" t="inlineStr"/>
    </row>
    <row r="190" ht="26" customHeight="1">
      <c r="A190" s="7" t="inlineStr"/>
      <c r="B190" s="8" t="inlineStr">
        <is>
          <t>Lemnic L600 Air conditioner</t>
        </is>
      </c>
      <c r="C190" s="9" t="inlineStr"/>
      <c r="D190" s="9" t="inlineStr">
        <is>
          <t>each</t>
        </is>
      </c>
      <c r="E190" s="10" t="n">
        <v>0</v>
      </c>
      <c r="F190" s="11" t="n">
        <v>0</v>
      </c>
      <c r="G190" s="12">
        <f>E190*F190</f>
        <v/>
      </c>
      <c r="H190" s="7" t="inlineStr"/>
    </row>
    <row r="191" ht="24" customHeight="1">
      <c r="A191" s="5" t="inlineStr">
        <is>
          <t>PACKAGING OF RECOVERED MATERIAL</t>
        </is>
      </c>
      <c r="B191" s="6" t="n"/>
      <c r="C191" s="6" t="n"/>
      <c r="D191" s="6" t="n"/>
      <c r="E191" s="6" t="n"/>
      <c r="F191" s="6" t="n"/>
      <c r="G191" s="6" t="n"/>
      <c r="H191" s="6" t="n"/>
    </row>
    <row r="192" ht="26" customHeight="1">
      <c r="A192" s="7" t="inlineStr">
        <is>
          <t>R13659</t>
        </is>
      </c>
      <c r="B192" s="8" t="inlineStr">
        <is>
          <t>Packaging recovered RRU</t>
        </is>
      </c>
      <c r="C192" s="9" t="inlineStr"/>
      <c r="D192" s="9" t="inlineStr">
        <is>
          <t>Each</t>
        </is>
      </c>
      <c r="E192" s="10" t="n">
        <v>88.5</v>
      </c>
      <c r="F192" s="11" t="n">
        <v>0</v>
      </c>
      <c r="G192" s="12">
        <f>E192*F192</f>
        <v/>
      </c>
      <c r="H192" s="7" t="inlineStr"/>
    </row>
    <row r="193" ht="26" customHeight="1">
      <c r="A193" s="7" t="inlineStr">
        <is>
          <t>R13660</t>
        </is>
      </c>
      <c r="B193" s="8" t="inlineStr">
        <is>
          <t>Packaging recovered Filter/Combiners</t>
        </is>
      </c>
      <c r="C193" s="9" t="inlineStr"/>
      <c r="D193" s="9" t="inlineStr">
        <is>
          <t>Each</t>
        </is>
      </c>
      <c r="E193" s="10" t="n">
        <v>80.59999999999999</v>
      </c>
      <c r="F193" s="11" t="n">
        <v>0</v>
      </c>
      <c r="G193" s="12">
        <f>E193*F193</f>
        <v/>
      </c>
      <c r="H193" s="7" t="inlineStr"/>
    </row>
    <row r="194" ht="26" customHeight="1">
      <c r="A194" s="7" t="inlineStr">
        <is>
          <t>R13661</t>
        </is>
      </c>
      <c r="B194" s="8" t="inlineStr">
        <is>
          <t>Packaging recovered RBS6202</t>
        </is>
      </c>
      <c r="C194" s="9" t="inlineStr"/>
      <c r="D194" s="9" t="inlineStr">
        <is>
          <t>Each</t>
        </is>
      </c>
      <c r="E194" s="10" t="n">
        <v>85.5</v>
      </c>
      <c r="F194" s="11" t="n">
        <v>0</v>
      </c>
      <c r="G194" s="12">
        <f>E194*F194</f>
        <v/>
      </c>
      <c r="H194" s="7" t="inlineStr"/>
    </row>
    <row r="195" ht="40" customHeight="1">
      <c r="A195" s="7" t="inlineStr">
        <is>
          <t>R13662</t>
        </is>
      </c>
      <c r="B195" s="8" t="inlineStr">
        <is>
          <t>Packaging recovered Digital Unit or CPRI Multiplexer Unit - XMU (R503)</t>
        </is>
      </c>
      <c r="C195" s="9" t="inlineStr"/>
      <c r="D195" s="9" t="inlineStr">
        <is>
          <t>Each</t>
        </is>
      </c>
      <c r="E195" s="10" t="n">
        <v>68</v>
      </c>
      <c r="F195" s="11" t="n">
        <v>0</v>
      </c>
      <c r="G195" s="12">
        <f>E195*F195</f>
        <v/>
      </c>
      <c r="H195" s="7" t="inlineStr"/>
    </row>
    <row r="196" ht="26" customHeight="1">
      <c r="A196" s="7" t="inlineStr">
        <is>
          <t>R13663</t>
        </is>
      </c>
      <c r="B196" s="8" t="inlineStr">
        <is>
          <t>Packaging recovered RBS6601</t>
        </is>
      </c>
      <c r="C196" s="9" t="inlineStr"/>
      <c r="D196" s="9" t="inlineStr">
        <is>
          <t>Each</t>
        </is>
      </c>
      <c r="E196" s="10" t="n">
        <v>75</v>
      </c>
      <c r="F196" s="11" t="n">
        <v>0</v>
      </c>
      <c r="G196" s="12">
        <f>E196*F196</f>
        <v/>
      </c>
      <c r="H196" s="7" t="inlineStr"/>
    </row>
    <row r="197" ht="26" customHeight="1">
      <c r="A197" s="7" t="inlineStr">
        <is>
          <t>R13664</t>
        </is>
      </c>
      <c r="B197" s="8" t="inlineStr">
        <is>
          <t>Packaging recovered SIU-02</t>
        </is>
      </c>
      <c r="C197" s="9" t="inlineStr"/>
      <c r="D197" s="9" t="inlineStr">
        <is>
          <t>Each</t>
        </is>
      </c>
      <c r="E197" s="10" t="n">
        <v>79</v>
      </c>
      <c r="F197" s="11" t="n">
        <v>0</v>
      </c>
      <c r="G197" s="12">
        <f>E197*F197</f>
        <v/>
      </c>
      <c r="H197" s="7" t="inlineStr"/>
    </row>
    <row r="198" ht="24" customHeight="1">
      <c r="A198" s="5" t="inlineStr">
        <is>
          <t>PLANT HIRE</t>
        </is>
      </c>
      <c r="B198" s="6" t="n"/>
      <c r="C198" s="6" t="n"/>
      <c r="D198" s="6" t="n"/>
      <c r="E198" s="6" t="n"/>
      <c r="F198" s="6" t="n"/>
      <c r="G198" s="6" t="n"/>
      <c r="H198" s="6" t="n"/>
    </row>
    <row r="199" ht="26" customHeight="1">
      <c r="A199" s="7" t="inlineStr"/>
      <c r="B199" s="8" t="inlineStr">
        <is>
          <t>Ewp hire - 20m</t>
        </is>
      </c>
      <c r="C199" s="9" t="inlineStr"/>
      <c r="D199" s="9" t="inlineStr">
        <is>
          <t>per hour</t>
        </is>
      </c>
      <c r="E199" s="10" t="n">
        <v>0</v>
      </c>
      <c r="F199" s="11" t="n">
        <v>0</v>
      </c>
      <c r="G199" s="12">
        <f>E199*F199</f>
        <v/>
      </c>
      <c r="H199" s="7" t="inlineStr"/>
    </row>
    <row r="200" ht="26" customHeight="1">
      <c r="A200" s="7" t="inlineStr"/>
      <c r="B200" s="8" t="inlineStr">
        <is>
          <t>Ewp hire - 30m</t>
        </is>
      </c>
      <c r="C200" s="9" t="inlineStr"/>
      <c r="D200" s="9" t="inlineStr">
        <is>
          <t>per hour</t>
        </is>
      </c>
      <c r="E200" s="10" t="n">
        <v>0</v>
      </c>
      <c r="F200" s="11" t="n">
        <v>0</v>
      </c>
      <c r="G200" s="12">
        <f>E200*F200</f>
        <v/>
      </c>
      <c r="H200" s="7" t="inlineStr"/>
    </row>
    <row r="201" ht="26" customHeight="1">
      <c r="A201" s="7" t="inlineStr"/>
      <c r="B201" s="8" t="inlineStr">
        <is>
          <t>Ewp hire - 32m</t>
        </is>
      </c>
      <c r="C201" s="9" t="inlineStr"/>
      <c r="D201" s="9" t="inlineStr">
        <is>
          <t>per hour</t>
        </is>
      </c>
      <c r="E201" s="10" t="n">
        <v>0</v>
      </c>
      <c r="F201" s="11" t="n">
        <v>0</v>
      </c>
      <c r="G201" s="12">
        <f>E201*F201</f>
        <v/>
      </c>
      <c r="H201" s="7" t="inlineStr"/>
    </row>
    <row r="202" ht="26" customHeight="1">
      <c r="A202" s="7" t="inlineStr"/>
      <c r="B202" s="8" t="inlineStr">
        <is>
          <t>Ewp hire - 40m</t>
        </is>
      </c>
      <c r="C202" s="9" t="inlineStr"/>
      <c r="D202" s="9" t="inlineStr">
        <is>
          <t>per hour</t>
        </is>
      </c>
      <c r="E202" s="10" t="n">
        <v>0</v>
      </c>
      <c r="F202" s="11" t="n">
        <v>0</v>
      </c>
      <c r="G202" s="12">
        <f>E202*F202</f>
        <v/>
      </c>
      <c r="H202" s="7" t="inlineStr"/>
    </row>
    <row r="203" ht="26" customHeight="1">
      <c r="A203" s="7" t="inlineStr"/>
      <c r="B203" s="8" t="inlineStr">
        <is>
          <t>Ewp hire - 45m</t>
        </is>
      </c>
      <c r="C203" s="9" t="inlineStr"/>
      <c r="D203" s="9" t="inlineStr">
        <is>
          <t>per hour</t>
        </is>
      </c>
      <c r="E203" s="10" t="n">
        <v>0</v>
      </c>
      <c r="F203" s="11" t="n">
        <v>0</v>
      </c>
      <c r="G203" s="12">
        <f>E203*F203</f>
        <v/>
      </c>
      <c r="H203" s="7" t="inlineStr"/>
    </row>
    <row r="204" ht="26" customHeight="1">
      <c r="A204" s="7" t="inlineStr"/>
      <c r="B204" s="8" t="inlineStr">
        <is>
          <t>Ewp hire - 48m</t>
        </is>
      </c>
      <c r="C204" s="9" t="inlineStr"/>
      <c r="D204" s="9" t="inlineStr">
        <is>
          <t>per hour</t>
        </is>
      </c>
      <c r="E204" s="10" t="n">
        <v>0</v>
      </c>
      <c r="F204" s="11" t="n">
        <v>0</v>
      </c>
      <c r="G204" s="12">
        <f>E204*F204</f>
        <v/>
      </c>
      <c r="H204" s="7" t="inlineStr"/>
    </row>
    <row r="205" ht="26" customHeight="1">
      <c r="A205" s="7" t="inlineStr"/>
      <c r="B205" s="8" t="inlineStr">
        <is>
          <t>Ewp hire - 51m</t>
        </is>
      </c>
      <c r="C205" s="9" t="inlineStr"/>
      <c r="D205" s="9" t="inlineStr">
        <is>
          <t>per hour</t>
        </is>
      </c>
      <c r="E205" s="10" t="n">
        <v>0</v>
      </c>
      <c r="F205" s="11" t="n">
        <v>0</v>
      </c>
      <c r="G205" s="12">
        <f>E205*F205</f>
        <v/>
      </c>
      <c r="H205" s="7" t="inlineStr"/>
    </row>
    <row r="206" ht="26" customHeight="1">
      <c r="A206" s="7" t="inlineStr"/>
      <c r="B206" s="8" t="inlineStr">
        <is>
          <t>Ewp hire - 61m</t>
        </is>
      </c>
      <c r="C206" s="9" t="inlineStr"/>
      <c r="D206" s="9" t="inlineStr">
        <is>
          <t>per hour</t>
        </is>
      </c>
      <c r="E206" s="10" t="n">
        <v>0</v>
      </c>
      <c r="F206" s="11" t="n">
        <v>0</v>
      </c>
      <c r="G206" s="12">
        <f>E206*F206</f>
        <v/>
      </c>
      <c r="H206" s="7" t="inlineStr"/>
    </row>
    <row r="207" ht="26" customHeight="1">
      <c r="A207" s="7" t="inlineStr"/>
      <c r="B207" s="8" t="inlineStr">
        <is>
          <t>Ewp hire - 72m</t>
        </is>
      </c>
      <c r="C207" s="9" t="inlineStr"/>
      <c r="D207" s="9" t="inlineStr">
        <is>
          <t>per hour</t>
        </is>
      </c>
      <c r="E207" s="10" t="n">
        <v>0</v>
      </c>
      <c r="F207" s="11" t="n">
        <v>0</v>
      </c>
      <c r="G207" s="12">
        <f>E207*F207</f>
        <v/>
      </c>
      <c r="H207" s="7" t="inlineStr"/>
    </row>
    <row r="208" ht="26" customHeight="1">
      <c r="A208" s="7" t="inlineStr"/>
      <c r="B208" s="8" t="inlineStr">
        <is>
          <t>EWP hire - 103m price on application</t>
        </is>
      </c>
      <c r="C208" s="9" t="inlineStr"/>
      <c r="D208" s="9" t="inlineStr">
        <is>
          <t>per hour</t>
        </is>
      </c>
      <c r="E208" s="10" t="n">
        <v>0</v>
      </c>
      <c r="F208" s="11" t="n">
        <v>0</v>
      </c>
      <c r="G208" s="12">
        <f>E208*F208</f>
        <v/>
      </c>
      <c r="H208" s="7" t="inlineStr"/>
    </row>
    <row r="209" ht="26" customHeight="1">
      <c r="A209" s="7" t="inlineStr"/>
      <c r="B209" s="8" t="inlineStr">
        <is>
          <t>Boom Hire 86ft Self Propelld</t>
        </is>
      </c>
      <c r="C209" s="9" t="inlineStr"/>
      <c r="D209" s="9" t="inlineStr">
        <is>
          <t>per week</t>
        </is>
      </c>
      <c r="E209" s="10" t="n">
        <v>0</v>
      </c>
      <c r="F209" s="11" t="n">
        <v>0</v>
      </c>
      <c r="G209" s="12">
        <f>E209*F209</f>
        <v/>
      </c>
      <c r="H209" s="7" t="inlineStr"/>
    </row>
    <row r="210" ht="26" customHeight="1">
      <c r="A210" s="7" t="inlineStr"/>
      <c r="B210" s="8" t="inlineStr">
        <is>
          <t>Boom hire 135 self propelled</t>
        </is>
      </c>
      <c r="C210" s="9" t="inlineStr"/>
      <c r="D210" s="9" t="inlineStr">
        <is>
          <t>per week</t>
        </is>
      </c>
      <c r="E210" s="10" t="n">
        <v>0</v>
      </c>
      <c r="F210" s="11" t="n">
        <v>0</v>
      </c>
      <c r="G210" s="12">
        <f>E210*F210</f>
        <v/>
      </c>
      <c r="H210" s="7" t="inlineStr"/>
    </row>
    <row r="211" ht="26" customHeight="1">
      <c r="A211" s="7" t="inlineStr"/>
      <c r="B211" s="8" t="inlineStr">
        <is>
          <t>Crane hire - Franna- 20t</t>
        </is>
      </c>
      <c r="C211" s="9" t="inlineStr"/>
      <c r="D211" s="9" t="inlineStr">
        <is>
          <t>per hour</t>
        </is>
      </c>
      <c r="E211" s="10" t="n">
        <v>0</v>
      </c>
      <c r="F211" s="11" t="n">
        <v>0</v>
      </c>
      <c r="G211" s="12">
        <f>E211*F211</f>
        <v/>
      </c>
      <c r="H211" s="7" t="inlineStr"/>
    </row>
    <row r="212" ht="26" customHeight="1">
      <c r="A212" s="7" t="inlineStr"/>
      <c r="B212" s="8" t="inlineStr">
        <is>
          <t>Crane hire - Franna- 25t</t>
        </is>
      </c>
      <c r="C212" s="9" t="inlineStr"/>
      <c r="D212" s="9" t="inlineStr">
        <is>
          <t>per hour</t>
        </is>
      </c>
      <c r="E212" s="10" t="n">
        <v>0</v>
      </c>
      <c r="F212" s="11" t="n">
        <v>0</v>
      </c>
      <c r="G212" s="12">
        <f>E212*F212</f>
        <v/>
      </c>
      <c r="H212" s="7" t="inlineStr"/>
    </row>
    <row r="213" ht="26" customHeight="1">
      <c r="A213" s="7" t="inlineStr"/>
      <c r="B213" s="8" t="inlineStr">
        <is>
          <t>Crane hire - Franna- 25t superlift</t>
        </is>
      </c>
      <c r="C213" s="9" t="inlineStr"/>
      <c r="D213" s="9" t="inlineStr">
        <is>
          <t>per hour</t>
        </is>
      </c>
      <c r="E213" s="10" t="n">
        <v>0</v>
      </c>
      <c r="F213" s="11" t="n">
        <v>0</v>
      </c>
      <c r="G213" s="12">
        <f>E213*F213</f>
        <v/>
      </c>
      <c r="H213" s="7" t="inlineStr"/>
    </row>
    <row r="214" ht="26" customHeight="1">
      <c r="A214" s="7" t="inlineStr"/>
      <c r="B214" s="8" t="inlineStr">
        <is>
          <t>Crane hire - Franna- 40t</t>
        </is>
      </c>
      <c r="C214" s="9" t="inlineStr"/>
      <c r="D214" s="9" t="inlineStr">
        <is>
          <t>per hour</t>
        </is>
      </c>
      <c r="E214" s="10" t="n">
        <v>0</v>
      </c>
      <c r="F214" s="11" t="n">
        <v>0</v>
      </c>
      <c r="G214" s="12">
        <f>E214*F214</f>
        <v/>
      </c>
      <c r="H214" s="7" t="inlineStr"/>
    </row>
    <row r="215" ht="26" customHeight="1">
      <c r="A215" s="7" t="inlineStr"/>
      <c r="B215" s="8" t="inlineStr">
        <is>
          <t>Crane hire - 20t City Crane</t>
        </is>
      </c>
      <c r="C215" s="9" t="inlineStr"/>
      <c r="D215" s="9" t="inlineStr">
        <is>
          <t>per hour</t>
        </is>
      </c>
      <c r="E215" s="10" t="n">
        <v>0</v>
      </c>
      <c r="F215" s="11" t="n">
        <v>0</v>
      </c>
      <c r="G215" s="12">
        <f>E215*F215</f>
        <v/>
      </c>
      <c r="H215" s="7" t="inlineStr"/>
    </row>
    <row r="216" ht="26" customHeight="1">
      <c r="A216" s="7" t="inlineStr"/>
      <c r="B216" s="8" t="inlineStr">
        <is>
          <t>Crane hire - 40t all terrain</t>
        </is>
      </c>
      <c r="C216" s="9" t="inlineStr"/>
      <c r="D216" s="9" t="inlineStr">
        <is>
          <t>per hour</t>
        </is>
      </c>
      <c r="E216" s="10" t="n">
        <v>0</v>
      </c>
      <c r="F216" s="11" t="n">
        <v>0</v>
      </c>
      <c r="G216" s="12">
        <f>E216*F216</f>
        <v/>
      </c>
      <c r="H216" s="7" t="inlineStr"/>
    </row>
    <row r="217" ht="26" customHeight="1">
      <c r="A217" s="7" t="inlineStr"/>
      <c r="B217" s="8" t="inlineStr">
        <is>
          <t>Crane hire - 55t all terrain</t>
        </is>
      </c>
      <c r="C217" s="9" t="inlineStr"/>
      <c r="D217" s="9" t="inlineStr">
        <is>
          <t>per hour</t>
        </is>
      </c>
      <c r="E217" s="10" t="n">
        <v>0</v>
      </c>
      <c r="F217" s="11" t="n">
        <v>0</v>
      </c>
      <c r="G217" s="12">
        <f>E217*F217</f>
        <v/>
      </c>
      <c r="H217" s="7" t="inlineStr"/>
    </row>
    <row r="218" ht="26" customHeight="1">
      <c r="A218" s="7" t="inlineStr"/>
      <c r="B218" s="8" t="inlineStr">
        <is>
          <t>Crane hire - 60t all terrain</t>
        </is>
      </c>
      <c r="C218" s="9" t="inlineStr"/>
      <c r="D218" s="9" t="inlineStr">
        <is>
          <t>per hour</t>
        </is>
      </c>
      <c r="E218" s="10" t="n">
        <v>0</v>
      </c>
      <c r="F218" s="11" t="n">
        <v>0</v>
      </c>
      <c r="G218" s="12">
        <f>E218*F218</f>
        <v/>
      </c>
      <c r="H218" s="7" t="inlineStr"/>
    </row>
    <row r="219" ht="26" customHeight="1">
      <c r="A219" s="7" t="inlineStr"/>
      <c r="B219" s="8" t="inlineStr">
        <is>
          <t>Crane hire - 80t all terrain</t>
        </is>
      </c>
      <c r="C219" s="9" t="inlineStr"/>
      <c r="D219" s="9" t="inlineStr">
        <is>
          <t>per hour</t>
        </is>
      </c>
      <c r="E219" s="10" t="n">
        <v>0</v>
      </c>
      <c r="F219" s="11" t="n">
        <v>0</v>
      </c>
      <c r="G219" s="12">
        <f>E219*F219</f>
        <v/>
      </c>
      <c r="H219" s="7" t="inlineStr"/>
    </row>
    <row r="220" ht="26" customHeight="1">
      <c r="A220" s="7" t="inlineStr"/>
      <c r="B220" s="8" t="inlineStr">
        <is>
          <t>Crane hire - 90t all terrain</t>
        </is>
      </c>
      <c r="C220" s="9" t="inlineStr"/>
      <c r="D220" s="9" t="inlineStr">
        <is>
          <t>per hour</t>
        </is>
      </c>
      <c r="E220" s="10" t="n">
        <v>0</v>
      </c>
      <c r="F220" s="11" t="n">
        <v>0</v>
      </c>
      <c r="G220" s="12">
        <f>E220*F220</f>
        <v/>
      </c>
      <c r="H220" s="7" t="inlineStr"/>
    </row>
    <row r="221" ht="26" customHeight="1">
      <c r="A221" s="7" t="inlineStr"/>
      <c r="B221" s="8" t="inlineStr">
        <is>
          <t>Crane hire - 100t all terrain</t>
        </is>
      </c>
      <c r="C221" s="9" t="inlineStr"/>
      <c r="D221" s="9" t="inlineStr">
        <is>
          <t>per hour</t>
        </is>
      </c>
      <c r="E221" s="10" t="n">
        <v>0</v>
      </c>
      <c r="F221" s="11" t="n">
        <v>0</v>
      </c>
      <c r="G221" s="12">
        <f>E221*F221</f>
        <v/>
      </c>
      <c r="H221" s="7" t="inlineStr"/>
    </row>
    <row r="222" ht="26" customHeight="1">
      <c r="A222" s="7" t="inlineStr"/>
      <c r="B222" s="8" t="inlineStr">
        <is>
          <t>Crane hire - 130t all terrain</t>
        </is>
      </c>
      <c r="C222" s="9" t="inlineStr"/>
      <c r="D222" s="9" t="inlineStr">
        <is>
          <t>per hour</t>
        </is>
      </c>
      <c r="E222" s="10" t="n">
        <v>0</v>
      </c>
      <c r="F222" s="11" t="n">
        <v>0</v>
      </c>
      <c r="G222" s="12">
        <f>E222*F222</f>
        <v/>
      </c>
      <c r="H222" s="7" t="inlineStr"/>
    </row>
    <row r="223" ht="26" customHeight="1">
      <c r="A223" s="7" t="inlineStr"/>
      <c r="B223" s="8" t="inlineStr">
        <is>
          <t>Crane hire - 150t all terrain</t>
        </is>
      </c>
      <c r="C223" s="9" t="inlineStr"/>
      <c r="D223" s="9" t="inlineStr">
        <is>
          <t>per hour</t>
        </is>
      </c>
      <c r="E223" s="10" t="n">
        <v>0</v>
      </c>
      <c r="F223" s="11" t="n">
        <v>0</v>
      </c>
      <c r="G223" s="12">
        <f>E223*F223</f>
        <v/>
      </c>
      <c r="H223" s="7" t="inlineStr"/>
    </row>
    <row r="224" ht="26" customHeight="1">
      <c r="A224" s="7" t="inlineStr"/>
      <c r="B224" s="8" t="inlineStr">
        <is>
          <t>Crane hire - 200t all terrain</t>
        </is>
      </c>
      <c r="C224" s="9" t="inlineStr"/>
      <c r="D224" s="9" t="inlineStr">
        <is>
          <t>per hour</t>
        </is>
      </c>
      <c r="E224" s="10" t="n">
        <v>0</v>
      </c>
      <c r="F224" s="11" t="n">
        <v>0</v>
      </c>
      <c r="G224" s="12">
        <f>E224*F224</f>
        <v/>
      </c>
      <c r="H224" s="7" t="inlineStr"/>
    </row>
    <row r="225" ht="26" customHeight="1">
      <c r="A225" s="7" t="inlineStr"/>
      <c r="B225" s="8" t="inlineStr">
        <is>
          <t>Crane hire - 220t all terrain</t>
        </is>
      </c>
      <c r="C225" s="9" t="inlineStr"/>
      <c r="D225" s="9" t="inlineStr">
        <is>
          <t>per hour</t>
        </is>
      </c>
      <c r="E225" s="10" t="n">
        <v>0</v>
      </c>
      <c r="F225" s="11" t="n">
        <v>0</v>
      </c>
      <c r="G225" s="12">
        <f>E225*F225</f>
        <v/>
      </c>
      <c r="H225" s="7" t="inlineStr"/>
    </row>
    <row r="226" ht="26" customHeight="1">
      <c r="A226" s="7" t="inlineStr"/>
      <c r="B226" s="8" t="inlineStr">
        <is>
          <t>Crane hire - 250t all terrain</t>
        </is>
      </c>
      <c r="C226" s="9" t="inlineStr"/>
      <c r="D226" s="9" t="inlineStr">
        <is>
          <t>per hour</t>
        </is>
      </c>
      <c r="E226" s="10" t="n">
        <v>0</v>
      </c>
      <c r="F226" s="11" t="n">
        <v>0</v>
      </c>
      <c r="G226" s="12">
        <f>E226*F226</f>
        <v/>
      </c>
      <c r="H226" s="7" t="inlineStr"/>
    </row>
    <row r="227" ht="24" customHeight="1">
      <c r="A227" s="5" t="inlineStr">
        <is>
          <t>MISC</t>
        </is>
      </c>
      <c r="B227" s="6" t="n"/>
      <c r="C227" s="6" t="n"/>
      <c r="D227" s="6" t="n"/>
      <c r="E227" s="6" t="n"/>
      <c r="F227" s="6" t="n"/>
      <c r="G227" s="6" t="n"/>
      <c r="H227" s="6" t="n"/>
    </row>
    <row r="228" ht="26" customHeight="1">
      <c r="A228" s="7" t="inlineStr"/>
      <c r="B228" s="8" t="inlineStr">
        <is>
          <t>Weekend uplift rate - Tech</t>
        </is>
      </c>
      <c r="C228" s="9" t="inlineStr"/>
      <c r="D228" s="9" t="inlineStr">
        <is>
          <t>per hr</t>
        </is>
      </c>
      <c r="E228" s="10" t="n">
        <v>55</v>
      </c>
      <c r="F228" s="11" t="n">
        <v>0</v>
      </c>
      <c r="G228" s="12">
        <f>E228*F228</f>
        <v/>
      </c>
      <c r="H228" s="7" t="inlineStr"/>
    </row>
    <row r="229" ht="26" customHeight="1">
      <c r="A229" s="7" t="inlineStr"/>
      <c r="B229" s="8" t="inlineStr">
        <is>
          <t>Weekend uplift rate - Rigger</t>
        </is>
      </c>
      <c r="C229" s="9" t="inlineStr"/>
      <c r="D229" s="9" t="inlineStr">
        <is>
          <t>per hr</t>
        </is>
      </c>
      <c r="E229" s="10" t="n">
        <v>50</v>
      </c>
      <c r="F229" s="11" t="n">
        <v>0</v>
      </c>
      <c r="G229" s="12">
        <f>E229*F229</f>
        <v/>
      </c>
      <c r="H229" s="7" t="inlineStr"/>
    </row>
    <row r="230" ht="26" customHeight="1">
      <c r="A230" s="7" t="inlineStr"/>
      <c r="B230" s="8" t="inlineStr">
        <is>
          <t>Site buildability survey and reporting</t>
        </is>
      </c>
      <c r="C230" s="9" t="inlineStr"/>
      <c r="D230" s="9" t="inlineStr">
        <is>
          <t>per site</t>
        </is>
      </c>
      <c r="E230" s="10" t="n">
        <v>1020</v>
      </c>
      <c r="F230" s="11" t="n">
        <v>0</v>
      </c>
      <c r="G230" s="12">
        <f>E230*F230</f>
        <v/>
      </c>
      <c r="H230" s="7" t="inlineStr"/>
    </row>
    <row r="231" ht="26" customHeight="1">
      <c r="A231" s="7" t="inlineStr"/>
      <c r="B231" s="8" t="inlineStr">
        <is>
          <t>FIM and waste management</t>
        </is>
      </c>
      <c r="C231" s="9" t="inlineStr"/>
      <c r="D231" s="9" t="inlineStr">
        <is>
          <t>per site</t>
        </is>
      </c>
      <c r="E231" s="10" t="n">
        <v>860</v>
      </c>
      <c r="F231" s="11" t="n">
        <v>0</v>
      </c>
      <c r="G231" s="12">
        <f>E231*F231</f>
        <v/>
      </c>
      <c r="H231" s="7" t="inlineStr"/>
    </row>
    <row r="232" ht="26" customHeight="1">
      <c r="A232" s="7" t="inlineStr">
        <is>
          <t>W13398</t>
        </is>
      </c>
      <c r="B232" s="8" t="inlineStr">
        <is>
          <t>Tier 2 Tower Inspections BAU when completing Build</t>
        </is>
      </c>
      <c r="C232" s="9" t="inlineStr"/>
      <c r="D232" s="9" t="inlineStr">
        <is>
          <t>per site</t>
        </is>
      </c>
      <c r="E232" s="10" t="n">
        <v>329</v>
      </c>
      <c r="F232" s="11" t="n">
        <v>0</v>
      </c>
      <c r="G232" s="12">
        <f>E232*F232</f>
        <v/>
      </c>
      <c r="H232" s="7" t="inlineStr"/>
    </row>
    <row r="233" ht="26" customHeight="1">
      <c r="A233" s="7" t="inlineStr">
        <is>
          <t>LAB-30</t>
        </is>
      </c>
      <c r="B233" s="8" t="inlineStr">
        <is>
          <t>Team Leader (Normal Working Hours)</t>
        </is>
      </c>
      <c r="C233" s="9" t="inlineStr"/>
      <c r="D233" s="9" t="inlineStr">
        <is>
          <t>per hour</t>
        </is>
      </c>
      <c r="E233" s="10" t="n">
        <v>95</v>
      </c>
      <c r="F233" s="11" t="n">
        <v>0</v>
      </c>
      <c r="G233" s="12">
        <f>E233*F233</f>
        <v/>
      </c>
      <c r="H233" s="7" t="inlineStr"/>
    </row>
    <row r="234" ht="26" customHeight="1">
      <c r="A234" s="7" t="inlineStr">
        <is>
          <t>LAB-31</t>
        </is>
      </c>
      <c r="B234" s="8" t="inlineStr">
        <is>
          <t>Team Leader (Out of Normal Working Hours)</t>
        </is>
      </c>
      <c r="C234" s="9" t="inlineStr"/>
      <c r="D234" s="9" t="inlineStr">
        <is>
          <t>per hour</t>
        </is>
      </c>
      <c r="E234" s="10" t="n">
        <v>145</v>
      </c>
      <c r="F234" s="11" t="n">
        <v>0</v>
      </c>
      <c r="G234" s="12">
        <f>E234*F234</f>
        <v/>
      </c>
      <c r="H234" s="7" t="inlineStr"/>
    </row>
    <row r="235" ht="26" customHeight="1">
      <c r="A235" s="7" t="inlineStr">
        <is>
          <t>LAB-32</t>
        </is>
      </c>
      <c r="B235" s="8" t="inlineStr">
        <is>
          <t>Technician  (Normal Working Hours)</t>
        </is>
      </c>
      <c r="C235" s="9" t="inlineStr"/>
      <c r="D235" s="9" t="inlineStr">
        <is>
          <t>per hour</t>
        </is>
      </c>
      <c r="E235" s="10" t="n">
        <v>90</v>
      </c>
      <c r="F235" s="11" t="n">
        <v>0</v>
      </c>
      <c r="G235" s="12">
        <f>E235*F235</f>
        <v/>
      </c>
      <c r="H235" s="7" t="inlineStr"/>
    </row>
    <row r="236" ht="26" customHeight="1">
      <c r="A236" s="7" t="inlineStr">
        <is>
          <t>LAB-33</t>
        </is>
      </c>
      <c r="B236" s="8" t="inlineStr">
        <is>
          <t>Technician  (Out of Normal Working Hours)</t>
        </is>
      </c>
      <c r="C236" s="9" t="inlineStr"/>
      <c r="D236" s="9" t="inlineStr">
        <is>
          <t>per hour</t>
        </is>
      </c>
      <c r="E236" s="10" t="n">
        <v>140</v>
      </c>
      <c r="F236" s="11" t="n">
        <v>0</v>
      </c>
      <c r="G236" s="12">
        <f>E236*F236</f>
        <v/>
      </c>
      <c r="H236" s="7" t="inlineStr"/>
    </row>
    <row r="237" ht="26" customHeight="1">
      <c r="A237" s="7" t="inlineStr">
        <is>
          <t>LAB-34</t>
        </is>
      </c>
      <c r="B237" s="8" t="inlineStr">
        <is>
          <t>Radio Lines /Riggers (Normal Working Hours)</t>
        </is>
      </c>
      <c r="C237" s="9" t="inlineStr"/>
      <c r="D237" s="9" t="inlineStr">
        <is>
          <t>per hour</t>
        </is>
      </c>
      <c r="E237" s="10" t="n">
        <v>85</v>
      </c>
      <c r="F237" s="11" t="n">
        <v>0</v>
      </c>
      <c r="G237" s="12">
        <f>E237*F237</f>
        <v/>
      </c>
      <c r="H237" s="7" t="inlineStr"/>
    </row>
    <row r="238" ht="26" customHeight="1">
      <c r="A238" s="7" t="inlineStr">
        <is>
          <t>LAB-35</t>
        </is>
      </c>
      <c r="B238" s="8" t="inlineStr">
        <is>
          <t>Radio Lines /Riggers (Out of Normal Working Hours)</t>
        </is>
      </c>
      <c r="C238" s="9" t="inlineStr"/>
      <c r="D238" s="9" t="inlineStr">
        <is>
          <t>per hour</t>
        </is>
      </c>
      <c r="E238" s="10" t="n">
        <v>135</v>
      </c>
      <c r="F238" s="11" t="n">
        <v>0</v>
      </c>
      <c r="G238" s="12">
        <f>E238*F238</f>
        <v/>
      </c>
      <c r="H238" s="7" t="inlineStr"/>
    </row>
    <row r="239" ht="26" customHeight="1">
      <c r="A239" s="7" t="inlineStr"/>
      <c r="B239" s="8" t="inlineStr">
        <is>
          <t>Senior Technician (Normal working hoours)</t>
        </is>
      </c>
      <c r="C239" s="9" t="inlineStr"/>
      <c r="D239" s="9" t="inlineStr">
        <is>
          <t>per hour</t>
        </is>
      </c>
      <c r="E239" s="10" t="n">
        <v>95</v>
      </c>
      <c r="F239" s="11" t="n">
        <v>0</v>
      </c>
      <c r="G239" s="12">
        <f>E239*F239</f>
        <v/>
      </c>
      <c r="H239" s="7" t="inlineStr"/>
    </row>
    <row r="240" ht="26" customHeight="1">
      <c r="A240" s="7" t="inlineStr"/>
      <c r="B240" s="8" t="inlineStr">
        <is>
          <t>Senior Technician (Out of Normal working hours)</t>
        </is>
      </c>
      <c r="C240" s="9" t="inlineStr"/>
      <c r="D240" s="9" t="inlineStr">
        <is>
          <t>per hour</t>
        </is>
      </c>
      <c r="E240" s="10" t="n">
        <v>145</v>
      </c>
      <c r="F240" s="11" t="n">
        <v>0</v>
      </c>
      <c r="G240" s="12">
        <f>E240*F240</f>
        <v/>
      </c>
      <c r="H240" s="7" t="inlineStr"/>
    </row>
    <row r="241" ht="26" customHeight="1">
      <c r="A241" s="7" t="inlineStr"/>
      <c r="B241" s="8" t="inlineStr">
        <is>
          <t>Signage (supplied as FIM)</t>
        </is>
      </c>
      <c r="C241" s="9" t="inlineStr"/>
      <c r="D241" s="9" t="inlineStr">
        <is>
          <t>each</t>
        </is>
      </c>
      <c r="E241" s="10" t="n">
        <v>25</v>
      </c>
      <c r="F241" s="11" t="n">
        <v>0</v>
      </c>
      <c r="G241" s="12">
        <f>E241*F241</f>
        <v/>
      </c>
      <c r="H241" s="7" t="inlineStr"/>
    </row>
    <row r="242" ht="24" customHeight="1">
      <c r="A242" s="5" t="inlineStr">
        <is>
          <t>TRAVEL AND ACCOMODATION</t>
        </is>
      </c>
      <c r="B242" s="6" t="n"/>
      <c r="C242" s="6" t="n"/>
      <c r="D242" s="6" t="n"/>
      <c r="E242" s="6" t="n"/>
      <c r="F242" s="6" t="n"/>
      <c r="G242" s="6" t="n"/>
      <c r="H242" s="6" t="n"/>
    </row>
    <row r="243" ht="26" customHeight="1">
      <c r="A243" s="7" t="inlineStr"/>
      <c r="B243" s="8" t="inlineStr">
        <is>
          <t>Accommodation and meals</t>
        </is>
      </c>
      <c r="C243" s="9" t="inlineStr"/>
      <c r="D243" s="9" t="inlineStr">
        <is>
          <t>night</t>
        </is>
      </c>
      <c r="E243" s="10" t="n">
        <v>250</v>
      </c>
      <c r="F243" s="11" t="n">
        <v>0</v>
      </c>
      <c r="G243" s="12">
        <f>E243*F243</f>
        <v/>
      </c>
      <c r="H243" s="7" t="inlineStr"/>
    </row>
    <row r="244" ht="26" customHeight="1">
      <c r="A244" s="7" t="inlineStr"/>
      <c r="B244" s="8" t="inlineStr">
        <is>
          <t>Capital city accommodation and meals</t>
        </is>
      </c>
      <c r="C244" s="9" t="inlineStr"/>
      <c r="D244" s="9" t="inlineStr">
        <is>
          <t>night</t>
        </is>
      </c>
      <c r="E244" s="10" t="n">
        <v>250</v>
      </c>
      <c r="F244" s="11" t="n">
        <v>0</v>
      </c>
      <c r="G244" s="12">
        <f>E244*F244</f>
        <v/>
      </c>
      <c r="H244" s="7" t="inlineStr"/>
    </row>
    <row r="245" ht="26" customHeight="1">
      <c r="A245" s="7" t="inlineStr"/>
      <c r="B245" s="8" t="inlineStr">
        <is>
          <t>Travel per vehicle</t>
        </is>
      </c>
      <c r="C245" s="9" t="inlineStr"/>
      <c r="D245" s="9" t="inlineStr">
        <is>
          <t>per km</t>
        </is>
      </c>
      <c r="E245" s="10" t="n">
        <v>1.6</v>
      </c>
      <c r="F245" s="11" t="n">
        <v>0</v>
      </c>
      <c r="G245" s="12">
        <f>E245*F245</f>
        <v/>
      </c>
      <c r="H245" s="7" t="inlineStr"/>
    </row>
    <row r="246" ht="26" customHeight="1">
      <c r="A246" s="7" t="inlineStr"/>
      <c r="B246" s="8" t="inlineStr">
        <is>
          <t>Travel charge rate per rigger/tech</t>
        </is>
      </c>
      <c r="C246" s="9" t="inlineStr"/>
      <c r="D246" s="9" t="inlineStr">
        <is>
          <t>per hr</t>
        </is>
      </c>
      <c r="E246" s="10" t="n">
        <v>85</v>
      </c>
      <c r="F246" s="11" t="n">
        <v>0</v>
      </c>
      <c r="G246" s="12">
        <f>E246*F246</f>
        <v/>
      </c>
      <c r="H246" s="7" t="inlineStr"/>
    </row>
    <row r="247" ht="24" customHeight="1">
      <c r="A247" s="5" t="inlineStr">
        <is>
          <t>SMALL CELL - SMR</t>
        </is>
      </c>
      <c r="B247" s="6" t="n"/>
      <c r="C247" s="6" t="n"/>
      <c r="D247" s="6" t="n"/>
      <c r="E247" s="6" t="n"/>
      <c r="F247" s="6" t="n"/>
      <c r="G247" s="6" t="n"/>
      <c r="H247" s="6" t="n"/>
    </row>
    <row r="248" ht="26" customHeight="1">
      <c r="A248" s="7" t="inlineStr">
        <is>
          <t>W13181</t>
        </is>
      </c>
      <c r="B248" s="8" t="inlineStr">
        <is>
          <t>Small Cell SMR -  Option 1 - Radio Head – Structure Mounted</t>
        </is>
      </c>
      <c r="C248" s="9" t="inlineStr"/>
      <c r="D248" s="9" t="inlineStr">
        <is>
          <t>each</t>
        </is>
      </c>
      <c r="E248" s="10" t="n">
        <v>5136</v>
      </c>
      <c r="F248" s="11" t="n">
        <v>0</v>
      </c>
      <c r="G248" s="12">
        <f>E248*F248</f>
        <v/>
      </c>
      <c r="H248" s="7" t="inlineStr"/>
    </row>
    <row r="249" ht="40" customHeight="1">
      <c r="A249" s="7" t="inlineStr">
        <is>
          <t>W13182</t>
        </is>
      </c>
      <c r="B249" s="8" t="inlineStr">
        <is>
          <t>Small Cell SMR -  Option 2 - Radio Head – Cabinet - Structure with ground based enclosure</t>
        </is>
      </c>
      <c r="C249" s="9" t="inlineStr"/>
      <c r="D249" s="9" t="inlineStr">
        <is>
          <t>each</t>
        </is>
      </c>
      <c r="E249" s="10" t="n">
        <v>5550</v>
      </c>
      <c r="F249" s="11" t="n">
        <v>0</v>
      </c>
      <c r="G249" s="12">
        <f>E249*F249</f>
        <v/>
      </c>
      <c r="H249" s="7" t="inlineStr"/>
    </row>
    <row r="250" ht="40" customHeight="1">
      <c r="A250" s="7" t="inlineStr">
        <is>
          <t>W13183</t>
        </is>
      </c>
      <c r="B250" s="8" t="inlineStr">
        <is>
          <t>Small Cell SMR -  Option 3 - Macro Lite – Cabinet - Structure with ground based enclosure</t>
        </is>
      </c>
      <c r="C250" s="9" t="inlineStr"/>
      <c r="D250" s="9" t="inlineStr">
        <is>
          <t>each</t>
        </is>
      </c>
      <c r="E250" s="10" t="n">
        <v>5496</v>
      </c>
      <c r="F250" s="11" t="n">
        <v>0</v>
      </c>
      <c r="G250" s="12">
        <f>E250*F250</f>
        <v/>
      </c>
      <c r="H250" s="7" t="inlineStr"/>
    </row>
    <row r="251" ht="40" customHeight="1">
      <c r="A251" s="7" t="inlineStr">
        <is>
          <t>W13184</t>
        </is>
      </c>
      <c r="B251" s="8" t="inlineStr">
        <is>
          <t>Small Cell SMR -  Option 4 - Macro Lite w/ Radio TX - Cabinet - Structure with ground-based enclosure</t>
        </is>
      </c>
      <c r="C251" s="9" t="inlineStr"/>
      <c r="D251" s="9" t="inlineStr">
        <is>
          <t>each</t>
        </is>
      </c>
      <c r="E251" s="10" t="n">
        <v>5976</v>
      </c>
      <c r="F251" s="11" t="n">
        <v>0</v>
      </c>
      <c r="G251" s="12">
        <f>E251*F251</f>
        <v/>
      </c>
      <c r="H251" s="7" t="inlineStr"/>
    </row>
    <row r="252" ht="26" customHeight="1">
      <c r="A252" s="7" t="inlineStr">
        <is>
          <t>W13185</t>
        </is>
      </c>
      <c r="B252" s="8" t="inlineStr">
        <is>
          <t>Small Cell SMR - Option 5 - Macro Lite – Exchange/building</t>
        </is>
      </c>
      <c r="C252" s="9" t="inlineStr"/>
      <c r="D252" s="9" t="inlineStr">
        <is>
          <t>each</t>
        </is>
      </c>
      <c r="E252" s="10" t="n">
        <v>4374</v>
      </c>
      <c r="F252" s="11" t="n">
        <v>0</v>
      </c>
      <c r="G252" s="12">
        <f>E252*F252</f>
        <v/>
      </c>
      <c r="H252" s="7" t="inlineStr"/>
    </row>
    <row r="253" ht="26" customHeight="1">
      <c r="A253" s="7" t="inlineStr">
        <is>
          <t>W13406</t>
        </is>
      </c>
      <c r="B253" s="8" t="inlineStr">
        <is>
          <t>Small Cell SMR - Option 6 – Macro-Lite – Structure mounted</t>
        </is>
      </c>
      <c r="C253" s="9" t="inlineStr"/>
      <c r="D253" s="9" t="inlineStr">
        <is>
          <t>each</t>
        </is>
      </c>
      <c r="E253" s="10" t="n">
        <v>5550</v>
      </c>
      <c r="F253" s="11" t="n">
        <v>0</v>
      </c>
      <c r="G253" s="12">
        <f>E253*F253</f>
        <v/>
      </c>
      <c r="H253" s="7" t="inlineStr"/>
    </row>
    <row r="254" ht="40" customHeight="1">
      <c r="A254" s="7" t="inlineStr">
        <is>
          <t>W13407</t>
        </is>
      </c>
      <c r="B254" s="8" t="inlineStr">
        <is>
          <t>Small Cell SMR - Option 7 – Macro-Lite w/ Radio TX – Structure mounted</t>
        </is>
      </c>
      <c r="C254" s="9" t="inlineStr"/>
      <c r="D254" s="9" t="inlineStr">
        <is>
          <t>each</t>
        </is>
      </c>
      <c r="E254" s="10" t="n">
        <v>6690</v>
      </c>
      <c r="F254" s="11" t="n">
        <v>0</v>
      </c>
      <c r="G254" s="12">
        <f>E254*F254</f>
        <v/>
      </c>
      <c r="H254" s="7" t="inlineStr"/>
    </row>
    <row r="255" ht="40" customHeight="1">
      <c r="A255" s="7" t="inlineStr">
        <is>
          <t>W13408</t>
        </is>
      </c>
      <c r="B255" s="8" t="inlineStr">
        <is>
          <t>Small Cell – Option H1 – HetNet Radio Head – Cabinet - Structure with ground-based enclosure</t>
        </is>
      </c>
      <c r="C255" s="9" t="inlineStr"/>
      <c r="D255" s="9" t="inlineStr">
        <is>
          <t>each</t>
        </is>
      </c>
      <c r="E255" s="10" t="n">
        <v>8190</v>
      </c>
      <c r="F255" s="11" t="n">
        <v>0</v>
      </c>
      <c r="G255" s="12">
        <f>E255*F255</f>
        <v/>
      </c>
      <c r="H255" s="7" t="inlineStr"/>
    </row>
    <row r="256" ht="40" customHeight="1">
      <c r="A256" s="7" t="inlineStr">
        <is>
          <t>W13409</t>
        </is>
      </c>
      <c r="B256" s="8" t="inlineStr">
        <is>
          <t>Small Cell – Option H2 – HetNet Radio Head – Structure mounted</t>
        </is>
      </c>
      <c r="C256" s="9" t="inlineStr"/>
      <c r="D256" s="9" t="inlineStr">
        <is>
          <t>each</t>
        </is>
      </c>
      <c r="E256" s="10" t="n">
        <v>8535</v>
      </c>
      <c r="F256" s="11" t="n">
        <v>0</v>
      </c>
      <c r="G256" s="12">
        <f>E256*F256</f>
        <v/>
      </c>
      <c r="H256" s="7" t="inlineStr"/>
    </row>
    <row r="257" ht="40" customHeight="1">
      <c r="A257" s="7" t="inlineStr">
        <is>
          <t>W13410</t>
        </is>
      </c>
      <c r="B257" s="8" t="inlineStr">
        <is>
          <t>Small Cell – Option H3 – Sectored HetNet Radio Head – Structure mounted</t>
        </is>
      </c>
      <c r="C257" s="9" t="inlineStr"/>
      <c r="D257" s="9" t="inlineStr">
        <is>
          <t>each</t>
        </is>
      </c>
      <c r="E257" s="10" t="n">
        <v>8865</v>
      </c>
      <c r="F257" s="11" t="n">
        <v>0</v>
      </c>
      <c r="G257" s="12">
        <f>E257*F257</f>
        <v/>
      </c>
      <c r="H257" s="7" t="inlineStr"/>
    </row>
    <row r="258" ht="26" customHeight="1">
      <c r="A258" s="7" t="inlineStr">
        <is>
          <t>W13411</t>
        </is>
      </c>
      <c r="B258" s="8" t="inlineStr">
        <is>
          <t>Small Cell – HetNet – Additional Sector for Option H3</t>
        </is>
      </c>
      <c r="C258" s="9" t="inlineStr"/>
      <c r="D258" s="9" t="inlineStr">
        <is>
          <t>each</t>
        </is>
      </c>
      <c r="E258" s="10" t="n">
        <v>2110</v>
      </c>
      <c r="F258" s="11" t="n">
        <v>0</v>
      </c>
      <c r="G258" s="12">
        <f>E258*F258</f>
        <v/>
      </c>
      <c r="H258" s="7" t="inlineStr"/>
    </row>
    <row r="259" ht="40" customHeight="1">
      <c r="A259" s="7" t="inlineStr">
        <is>
          <t>W13413</t>
        </is>
      </c>
      <c r="B259" s="8" t="inlineStr">
        <is>
          <t>Installation of WiFi Hotspot in combination with Small Cell site build.</t>
        </is>
      </c>
      <c r="C259" s="9" t="inlineStr"/>
      <c r="D259" s="9" t="inlineStr">
        <is>
          <t>each</t>
        </is>
      </c>
      <c r="E259" s="10" t="n">
        <v>2390</v>
      </c>
      <c r="F259" s="11" t="n">
        <v>0</v>
      </c>
      <c r="G259" s="12">
        <f>E259*F259</f>
        <v/>
      </c>
      <c r="H259" s="7" t="inlineStr"/>
    </row>
    <row r="260" ht="40" customHeight="1">
      <c r="A260" s="7" t="inlineStr">
        <is>
          <t>W13414</t>
        </is>
      </c>
      <c r="B260" s="8" t="inlineStr">
        <is>
          <t>Small Cell – Outdoor BB Unit Install at Exchange or CMTS Macro Site</t>
        </is>
      </c>
      <c r="C260" s="9" t="inlineStr"/>
      <c r="D260" s="9" t="inlineStr">
        <is>
          <t>each</t>
        </is>
      </c>
      <c r="E260" s="10" t="n">
        <v>822</v>
      </c>
      <c r="F260" s="11" t="n">
        <v>0</v>
      </c>
      <c r="G260" s="12">
        <f>E260*F260</f>
        <v/>
      </c>
      <c r="H260" s="7" t="inlineStr"/>
    </row>
    <row r="261" ht="24" customHeight="1">
      <c r="A261" s="5" t="inlineStr">
        <is>
          <t>NON-SOR &amp; UNQUOTED ITEMS</t>
        </is>
      </c>
      <c r="B261" s="6" t="n"/>
      <c r="C261" s="6" t="n"/>
      <c r="D261" s="6" t="n"/>
      <c r="E261" s="6" t="n"/>
      <c r="F261" s="6" t="n"/>
      <c r="G261" s="6" t="n"/>
      <c r="H261" s="6" t="n"/>
    </row>
    <row r="262" ht="26" customHeight="1">
      <c r="A262" s="13" t="inlineStr">
        <is>
          <t>UNQUOTED</t>
        </is>
      </c>
      <c r="B262" s="14" t="inlineStr"/>
      <c r="C262" s="15" t="inlineStr">
        <is>
          <t>INSTALL, RELOCATE, REMOVE, REPLACE, RETAIN</t>
        </is>
      </c>
      <c r="D262" s="15" t="inlineStr">
        <is>
          <t>each</t>
        </is>
      </c>
      <c r="E262" s="16" t="n">
        <v>0</v>
      </c>
      <c r="F262" s="17" t="n">
        <v>83</v>
      </c>
      <c r="G262" s="18">
        <f>E262*F262</f>
        <v/>
      </c>
      <c r="H262" s="13" t="inlineStr">
        <is>
          <t>Statement: Table row under EQUIPMENT NOTES - PROJECT NO. NA25797.01: INSTALL 1.0x model ERICSSON DCDU details TO BE INSTALLED IN PATHFINDER RACK AT RT/1/1 TO BE INSTALLED IN PATHFINDER RACK AT RT/1/1 with ID 11 on sector - -&gt; Rules Applied: None -&gt; Match Reason: No matching catalog item was found for the installation of an Ericsson DCDU power distribution unit under the provided pricing catalog candidates. | Statement: Table row under EQUIPMENT NOTES - PROJECT NO. NA25797.01: INSTALL 1.0x model KEREM A100 PDP details INSTALLED IN DECON RGL-091 RACK AT RT/2/3 INSTALLED IN DECON RGL-091 RACK AT RT/2/3 with ID 12 on sector - -&gt; Rules Applied: None -&gt; Match Reason: The pricing catalog only contains high-level section headers and no specific line items for installing a PDP (Power Distribution Panel) or equipment inside a rack. | Statement: Table row under EQUIPMENT NOTES - PROJECT NO. NA25797.01: INSTALL 1.0x model SLIDE OUT FIBRE MANAGEMENT TRAYS details TO BE INSTALLED IN PATHFINDER RACK AT RT/1/1 TO BE INSTALLED IN PATHFINDER RACK AT RT/1/1 with ID 22 on sector - -&gt; Rules Applied: None -&gt; Match Reason: None of the provided pricing catalog candidate section headers match the specific item 'SLIDE OUT FIBRE MANAGEMENT TRAYS' under the fibre management trays category or equipment installation in racks, and no specific line item candidates are present in the catalog. | Statement: Table row under EQUIPMENT NOTES - PROJECT NO. NA25797.01: REMOVE 1.0x model FIBRE MANAGEMENT TRAYS details - - with ID 23 on sector - -&gt; Rules Applied: None -&gt; Match Reason: None of the pricing catalog candidates match the requirement to remove FIBRE MANAGEMENT TRAYS. The only available candidate is a section header for 'Packaging of Recovered Material'. | Statement: Table row under EQUIPMENT NOTES - PROJECT NO. NA25797.01: INSTALL 3.0x model HYBRID CABLE MANAGEMENT TRAYS details TO BE INSTALLED IN PATHFINDER RACK RT/1/1 TO BE INSTALLED IN PATHFINDER RACK RT/1/1 with ID 24 on sector - -&gt; Rules Applied: None -&gt; Match Reason: The pricing catalog only contains section headers and no line items or specific pricing codes for cable management trays or support structures. | Statement: Table row under EQUIPMENT NOTES - PROJECT NO. NA25797.01: INSTALL 3.0x model 4490 ADAPTOR SHELFS details TO BE INSTALLED IN DECON RGL-091 RACK AT RT/2/3 TO BE INSTALLED IN DECON RGL-091 RACK AT RT/2/3 with ID 25 on sector - -&gt; Rules Applied: None -&gt; Match Reason: The pricing catalog candidates only contain section headers and lack specific line items for installing an adaptor shelf or equipment inside a shelter/rack. Therefore, a direct matching price code cannot be found. | Statement: Table row under EQUIPMENT NOTES - PROJECT NO. NA25797.01: INSTALL 1.0x model ERICSSON SITE CONTROLLER (ESC) details INSTALLED IN RT/2/4 RACK INSTALLED IN RT/2/4 RACK with ID 27 on sector - -&gt; Rules Applied: None -&gt; Match Reason: None of the pricing catalog candidates provide a specific line item for installing an Ericsson Site Controller (ESC) or equipment inside a rack. All candidates are high-level section headers without specific item codes or rates. | Statement: Table row under EQUIPMENT NOTES - PROJECT NO. NA25797.01: INSTALL 1.0x model RF JUMPER 1_5M N F TO SMA M details TSR951339/1500 TSR951339/1500 with ID 58 on sector - -&gt; Rules Applied: None -&gt; Match Reason: No specific pricing catalog candidate matches the installation of an RF Jumper with the specified model and details among the section headers provided. | Statement: Table row under MEMBER SCHEDULE (Part 1): INSTALL 1.0x model PROPOSED POLE Ø139.7x5.0Thk CHS, 3216mm LONG details   with ID P1 on sector - -&gt; Rules Applied: None -&gt; Match Reason: No matching pricing catalog item found for installing a specific POLE (Ø139.7x5.0Thk CHS, 3216mm LONG) within the provided candidates. | Statement: Table row under MEMBER SCHEDULE (Part 1): INSTALL 1.0x model PROPOSED POLE Ø139.7x5.0Thk CHS, 2494mm LONG details   with ID P2 on sector - -&gt; Rules Applied: None -&gt; Match Reason: None of the provided catalog candidates contain a matching item for installing a steel member pole of type CHS with diameter Ø139.7 and thickness 5.0Thk under the STEEL MEMBER category. | Statement: Table row under MEMBER SCHEDULE (Part 1): INSTALL 2.0x model PROPOSED HORIZONTAL BRACING Ø88.9x5.0Thk CHS, 1500mm LONG details   with ID BR1 on sector - -&gt; Rules Applied: None -&gt; Match Reason: No candidate item in the pricing catalog matches structural steel horizontal bracing members (Ø88.9x5.0Thk CHS, 1500mm LONG). | Statement: Table row under MEMBER SCHEDULE (Part 1): INSTALL 1.0x model PROPOSED HORIZONTAL BRACING Ø88.9x5.0Thk CHS, 2000mm LONG details   with ID BR2 on sector - -&gt; Rules Applied: None -&gt; Match Reason: None of the provided pricing catalog candidate items specifically cover structural steel horizontal bracing members like Ø88.9x5.0Thk CHS, 2000mm LONG. | Statement: Table row under MEMBER SCHEDULE (Part 1): INSTALL 2.0x model PROPOSED HORIZONTAL BRACING Ø76.1x5.9Thk CHS, 1500mm LONG details   with ID BR3 on sector - -&gt; Rules Applied: None -&gt; Match Reason: None of the provided catalog candidates correspond to structural steel elements such as horizontal bracings (Ø76.1x5.9Thk CHS). | Statement: Table row under MEMBER SCHEDULE (Part 1): INSTALL 1.0x model PROPOSED HORIZONTAL BRACING Ø88.9x5.0Thk CHS, 3500mm LONG details   with ID BR4 on sector - -&gt; Rules Applied: None -&gt; Match Reason: None of the active pricing catalog candidates provide a specific match for structural steel horizontal bracing members (CHS, 88.9mm x 5.0mm, 3500mm long) under the category constraint 'Structural Steel'. | Statement: Table row under MEMBER SCHEDULE (Part 2): INSTALL 4.0x model M16 U-BOLTS TO SUIT Ø139.7 CHS TO FIX PROPOSED POLE - P1 / P2 TO PL7 (# REFER NOTE 4) details   with ID UB1 on sector - -&gt; Rules Applied: None -&gt; Match Reason: The provided pricing catalog candidates only contain section headers and do not include specific line items for structural components such as U-BOLTS. Therefore, no matching catalog item could be selected. | Statement: Table row under MEMBER SCHEDULE (Part 2): INSTALL 4.0x model M16 U-BOLTS TO SUIT Ø139.7 CHS TO FIX PROPOSED POLE - P2 TO PL5 (# REFER NOTE 4) details   with ID UB1 on sector - -&gt; Rules Applied: None -&gt; Match Reason: No matching pricing catalog item was found for structural hardware (U-bolts) under the provided candidates. | Statement: Table row under MEMBER SCHEDULE (Part 2): INSTALL 4.0x model M16 U-BOLTS TO SUIT Ø88.9 CHS TO FIX PROPOSED BRACING - BR1 TO PL5 (# REFER NOTE 4) details   with ID UB2 on sector - -&gt; Rules Applied: None -&gt; Match Reason: The pricing catalog contains only section headers and no specific line items for U-bolts or structural bracing hardware installation. Therefore, the item falls under Unquoted Items. | Statement: Table row under MEMBER SCHEDULE (Part 2): INSTALL 8.0x model M16 U-BOLTS TO SUIT Ø88.9 CHS TO FIX PROPOSED BRACING - BR1 TO PL6 (# REFER NOTE 4) details   with ID UB2 on sector - -&gt; Rules Applied: None -&gt; Match Reason: No direct matching pricing catalog item for installing M16 U-bolts for structural bracing was found in the provided candidates. | Statement: Table row under MEMBER SCHEDULE: INSTALL 3.0x model PROPOSED EME CHAIN BARRIER SUPPORT WITH 4 Nos HILTI ANCHORS details   with ID PROPOSED EME CHAIN BARRIER SUPPORT WITH 4 Nos HILTI ANCHORS on sector - -&gt; Rules Applied: None -&gt; Match Reason: The pricing catalog candidates only contain high-level section headers and do not include specific line items for EME chain barrier supports, structural barrier installation, or specific structural support items matching the extracted entity. | Statement: EXISTING TELSTRA EQUIPMENT SHELTER TO ACCOMMODATE PROPOSED TELSTRA EQUIPMENT. REFER TO SHEET E1 FOR DETAILS -&gt; Rules Applied: None -&gt; Match Reason: The item matches the exact drawing note description for an existing Telstra equipment shelter to be retained, mapping correctly to the unquoted item with the 'RETAIN' action constraint. | Statement: PROPOSED TELSTRA-
HANDRAILS (TYP.) -&gt; Rules Applied: None -&gt; Match Reason: No matching catalog item was found for the installation of Telstra handrails among the provided candidates. | Statement: PROPOSED TELSTRA METAL CHAIN BARRIER WITH SUPPORT POSTS. REFER TO SHEET T8-7 FOR DETAILS -&gt; Rules Applied: None -&gt; Match Reason: No direct pricing catalog candidate exists for a Telstra Metal Chain Barrier with Support Posts under Civil Infrastructure within the provided catalog list. | Statement: NOTE: ANY GANTRY TRAY COVERS SHOWING SIGNS OF SIGNIFICANT WEAR AND TEAR SHALL BE REPLACED WITH NEW COVERS -&gt; Rules Applied: None -&gt; Match Reason: No specific pricing catalog candidate matches 'Gantry tray covers' replacement within the available section headers. | Statement: EXISTING TELSTRA HORIZONTAL
MEMBERS (2 OFF) TO BE RELOCATED
600mm UP. REFER TO SHEETS T3-4
TO T3-12 FOR DETAILS -&gt; Rules Applied: None -&gt; Match Reason: None of the active pricing catalog candidates provide a matching item or category for relocating Telstra structural/horizontal members. | Statement: EXISTING TELSTRA EQUIPMENT SHELTER TO ACCOMMODATE PROPOSED TELSTRA EQUIPMENT. REFER TO SHEET E1 FOR DETAILS -&gt; Rules Applied: None -&gt; Match Reason: The extracted requirement specifies an existing Telstra equipment shelter to be retained, which matches the unquoted item specifically corresponding to the exact drawing note description and 'RETAIN' action constraint. | Statement: NOTE: ANY GANTRY TRAY COVERS SHOWING SIGNS OF SIGNIFICANT WEAR AND TEAR SHALL BE REPLACED WITH NEW COVERS -&gt; Rules Applied: None -&gt; Match Reason: No specific pricing catalog candidate matches 'Gantry tray covers' replacement under the available sections. | Statement: EXISTING TELSTRA EQUIPMENT SHELTER TO
ACCOMMODATE PROPOSED TELSTRA
EQUIPMENT. REFER TO SHEET E1 FOR DETAILS -&gt; Rules Applied: None -&gt; Match Reason: The item matches the extracted understanding and constraints for an existing Telstra equipment shelter with the action 'RETAIN'. As an existing structure that is not being newly installed or removed under standard billable schedule items, it correctly maps to the unquoted item with the exact drawing note description. | Statement: NOTE: ANY GANTRY TRAY COVERS SHOWING
SIGNS OF SIGNIFICANT WEAR AND TEAR SHALL
BE REPLACED WITH NEW COVERS -&gt; Rules Applied: None -&gt; Match Reason: No matching pricing catalog item found for replacing gantry tray covers in the provided candidates. | Statement: EXISTING TELSTRA EQUIPMENT SHELTER TO
ACCOMMODATE PROPOSED TELSTRA
EQUIPMENT. REFER TO SHEET E1 FOR DETAILS -&gt; Rules Applied: None -&gt; Match Reason: The entity represents an existing Telstra equipment shelter with the action constraint 'RETAIN'. Since existing retained structures do not map to billable installation items in the pricing catalog, it correctly matches the unquoted item corresponding to the exact drawing note. | Statement: NOTE: ANY GANTRY TRAY COVERS SHOWING
SIGNS OF SIGNIFICANT WEAR AND TEAR SHALL
BE REPLACED WITH NEW COVERS -&gt; Rules Applied: None -&gt; Match Reason: There are no specific catalog line items for replacing gantry tray covers in the provided catalog candidates. | Statement: EXISTING TELSTRA SPD MODIFICATION KIT (1 OFF) TO BE REUSED IN WEATHERPROOF ENCLOSURE INSTALLED ADJACENT TO EXISTING SPD BOX -&gt; Rules Applied: None -&gt; Match Reason: The requirement is to relocate and reuse an existing Telstra SPD Modification Kit into a new weatherproof enclosure. None of the provided catalog section headers or items directly cover the reuse, relocation, or installation of an existing SPD modification kit. | Statement: EXISTING TELSTRA LENMIC L600P2 RAC UNIT (2 OFF) TO BE REUSED.EXISTING TELSTRA FAN FILTER (1 OFF) TO BE RECOVERED AND REPLACED WITH PROPOSED TELSTRA VAK00019 FILTER (1 OFF) IN EXISTING LENMIC L355D FAN UNIT (1 OFF) -&gt; Rules Applied: None -&gt; Match Reason: The item is an existing RAC unit that is to be retained/reused (action: RETAIN), meaning no new installation, removal, or recovery work is required for billing. Existing retained equipment typically falls under unquoted items or carries a zero-rate cost since no catalog activity is triggered. | Statement: PROPOSED EQUIPMENT -&gt; Rules Applied: None -&gt; Match Reason: The extracted understanding refers to a general note for 'PROPOSED EQUIPMENT' without identifying a specific catalog item or type of equipment from the pricing schedule. Therefore, it is treated as an unquoted item. | Statement: PROPOSED TELSTRA HYBRID CABLE MGMT
TRAYS (3 OFF). EXISTING TELSTRA FIBRE
MGMT TRAY (1 OFF) TO BE RCOVERED -&gt; Rules Applied: None -&gt; Match Reason: The provided pricing catalog candidates only contain section headers and lack specific line items for installing and removing Telstra cable management trays. | Statement: EXISTING REDUNDANT PLINTH
EXISTING BUILDING
RECOVER EXISTING STEEL STRUCTURE
AND EXISTING PLINTH &amp; ANCHORS. REFER
TO NOTE 14 IN DEG. T3-8 -&gt; Rules Applied: None -&gt; Match Reason: No matching pricing catalog item was found for the removal of the existing redundant steel structure, plinth, and anchors. The only candidate available is a section header for packaging recovered material. | Statement: PROPOSED 16mm THK
BASE PLATE PL1 WITH
4-Ø18 HOLE FOR 4-M16
HILTI ANCHOR BOLTS -&gt; Rules Applied: None -&gt; Match Reason: No matching pricing catalog candidate exists for structural steel base plates and anchor bolts within the provided catalog sections. | Statement: NOTE FOR MANUFACTURER &amp; INSTALLER:
TRIAL ASSEMBLE PRIOR TO GALVANISING AND DELIVERY
TO SITE TO ENSURE CORRECT FIT AND NUMBER OF PARTS -&gt; Rules Applied: None -&gt; Match Reason: The requirement specifies a manufacturing and installation note for trial assembly prior to galvanising and delivery of steel structures, which does not directly map to a standard line item in the pricing catalog. | Statement: NOTES:
1.FOR STANDARD CONSTRUCTION NOTES REFER TO TELSTRA STANDARD
DRAWING 017866P05.
2. ALL DIMENSIONS ARE IN MILLIMETERS UNLESS SPECIFIED OTHERWISE.
3. HIGH STRENGTH BOLTS AND ALL SPRING WASHERS TO AS 1252.1 (2016)
GRADE /S U.N.O.
4. ALL BOLTS INCLUDING U-BOLTS TO BE SUPPLIED WITH CORRESPONDING
NUTS, SPRING WASHERS AND LOCKNUTS. REFER STANDARD DRAWING
017866P70 SHEET 4 ISSUE 4 FOR DETAILS.
5. ALL HOLLOW SECTIONS TO AS 1163 (2016) GRADE C250LO U.N.O. ALL HOT
ROLLED STEEL TO AS 3678 (2016) &amp; AS 3679 (2016) GRADE 300 U.N.O.
6. ALL STEELWORK TO BE IN ACCORDANCE WITH AS 4100 &amp; AS 1163.
7. ALL WELDING TO BE CATEGORY SP TO AS 1554 (2014) ALL WELDS TO BE
6mm CONTINUOUS FILLET WELDS U.N.O.
8. ALL STEELWORK TO BE HOT DIP GALVANIZED TO AS 4680, AS 1559
&amp; AS 1214.
9. APPLY 2 COATS OF ZINC RICH PAINT TO ALL FRESHLY CUT, WELDED OR
DRILLED STEEL ON SITE, REMOVE ALL SWARF, BURRS &amp; SHARP EDGES. -&gt; Rules Applied: None -&gt; Match Reason: The extracted requirement refers to general construction notes, standards, and specifications for steelwork (Steelwork and General Construction) rather than a specific billable commercial item in the catalog. Therefore, it falls under unquoted items. | Statement: RELOCATE EXISTING
HORIZONTAL MEMBER
WITH PLATES
UB5 (TYP.) -&gt; Rules Applied: None -&gt; Match Reason: No matching pricing catalog candidate found for relocating a horizontal structural member with plates (UB5). | Statement: NOTE FOR MANUFACTURER &amp; INSTALLER:
TRIAL ASSEMBLE PRIOR TO GALVANISING AND DELIVERY
TO SITE TO ENSURE CORRECT FIT AND NUMBER OF PARTS -&gt; Rules Applied: None -&gt; Match Reason: The requirement is for a trial assembly of a steel structure prior to galvanising and delivery, which is a manufacturing and pre-installation instruction note rather than a standard priced catalog item or installation rate in the provided pricing structure. | Statement: RELOCATE EXISTING
HORIZONTAL MEMBER
WITH PLATES -&gt; Rules Applied: None -&gt; Match Reason: No matching pricing catalog item was found for relocating an existing horizontal member with plates under structural steel or related sections. | Statement: NOTE FOR MANUFACTURER &amp; INSTALLER:
TRIAL ASSEMBLE PRIOR TO GALVANISING AND DELIVERY
TO SITE TO ENSURE CORRECT FIT AND NUMBER OF PARTS -&gt; Rules Applied: None -&gt; Match Reason: The requirement specifies a trial assembly of steel structures prior to galvanising and delivery, which is a manufacturing or pre-construction QA step not covered by the standard installation, maintenance, or material supply catalog items. | Statement: NOTE:
10.EXISTING DIAGONAL BRACE CONNECTION PLINTHS (4-OFF) AT SECTOR 1 AND 3 SHALL BE DEMOLISHED AND REPLACED WITH NEW PLINTHS (4-OFF). REFER TO DRG. T3-9, DETAIL-A FOR NEW PLINTH DETAILS.
11. DURING DEMOLITION OF EXISTING PLINTHS, EXISTING ANCHORS SHALL BE SITE-CUT FLUSH WITH THE STRUCTURAL ROOF LEVEL.FOR NEW PLINTH INSTALLATION, NEW ANCHORS SHALL BE INSTALLED WITH A MINIMUM CLEARANCE OF 50mm FROM ANY EXISTING ANCHOR.
12. TO MAINTAIN CLEARANCE BETWEEN EXISTING AND NEW ANCHORS, NEW PLINTHS SHALL BE INSTALLED APPROXIMATELY 120mm AWAY FROM THE EXISTING PLINTH LOCATION.
13. EXISTING 90x8 EA DIAGONAL BRACES SHALL BE SITE-CUT TO ALIGN WITH THE NEW PLINTH LOCATIONS. SITE-DRILL NEW Ø18 HOLES IN EXISTING 90x8 EA TO ACCOMMODATE 1xM16 GRADE 8.8/S BOLT, WITH A MINIMUM EDGE DISTANCE OF 30mm.
14. DEMOLITION AND RECONSTRUCTION OF EXISTING PLINTHS SHALL INCLUDE REMOVAL AND REINSTATEMENT OF ALL AFFECTED WATERPROOFING. NEW WATERPROOFING SHALL MATCH THE EXISTING SYSTEM IN TYPE AND PERFORMANCE, AND ALL DISTURBED AREAS SHALL BE MADE GOOD TO ENSURE FULL CONTINUITY AND WATERTIGHTNESS. -&gt; Rules Applied: None -&gt; Match Reason: The pricing catalog candidates only contain high-level section headers without specific items for structural plinths, concrete demolition, or replacement works matching the detailed requirements. | Statement: RELOCATE EXISTING HORIZONTAL
MEMBER WITH PLATES -&gt; Rules Applied: None -&gt; Match Reason: None of the provided pricing catalog candidates match the structural steel category or the requirement to relocate an existing horizontal member with plates. | Statement: NOTE FOR MANUFACTURER &amp; INSTALLER:
TRIAL ASSEMBLE PRIOR TO GALVANISING AND DELIVERY
TO SITE TO ENSURE CORRECT FIT AND NUMBER OF PARTS -&gt; Rules Applied: None -&gt; Match Reason: The requirement specifies a steel structure trial assembly instruction prior to galvanising and delivery, which does not directly map to any specific pricing catalog line item for installation or procurement in the provided standard pricing categories. | Statement: PROPOSED Ø10 SOLID ROD - RD1
LANYARD ATTACHMENT POINT -&gt; Rules Applied: None -&gt; Match Reason: No matching pricing catalog item was found for the solid rod lanyard attachment point in the available catalog sections. | Statement: NOTE FOR MANUFACTURER &amp; INSTALLER:
TRIAL ASSEMBLE PRIOR TO GALVANISING AND DELIVERY
TO SITE TO ENSURE CORRECT FIT AND NUMBER OF PARTS -&gt; Rules Applied: None -&gt; Match Reason: The requirement specifies a trial assembly of a steel structure prior to galvanising and delivery to site. This is a specialized manufacturing and pre-installation instruction rather than a standard catalog installation item, thus falling under non-SOR or unquoted items. | Statement: NOTE FOR MANUFACTURER &amp; INSTALLER:
TRIAL ASSEMBLE PRIOR TO GALVANISING AND DELIVERY
TO SITE TO ENSURE CORRECT FIT AND NUMBER OF PARTS -&gt; Rules Applied: None -&gt; Match Reason: The requirement specifies a manufacturing/fabrication instruction for a trial assembly prior to galvanising for a steel structure, which is a specialized note/condition rather than a standard priced catalog item for installation or equipment supply. | Statement: NOTE FOR MANUFACTURER &amp; INSTALLER:
TRIAL ASSEMBLE PRIOR TO GALVANISING AND DELIVERY
TO SITE TO ENSURE CORRECT FIT AND NUMBER OF PARTS -&gt; Rules Applied: None -&gt; Match Reason: The requirement specifies a trial assembly of a steel structure prior to galvanising and delivery, which is a manufacturing or pre-installation quality control note rather than a standard priced installation item in the provided catalog. | Statement: NOTE FOR MANUFACTURER &amp; INSTALLER:
TRIAL ASSEMBLE PRIOR TO GALVANISING AND DELIVERY
TO SITE TO ENSURE CORRECT FIT AND NUMBER OF PARTS -&gt; Rules Applied: None -&gt; Match Reason: The requirement specifies a pre-delivery trial assembly of a steel structure to ensure correct fit prior to galvanising. This is a manufacturer/installer preparation instruction rather than a standard priced catalog item, falling under unquoted or non-SOR items. | Statement: PROPOSED 400 x 400 x 150mm
CONCRETE PAD -&gt; Rules Applied: None -&gt; Match Reason: No matching pricing catalog item found for a 400x400x150mm concrete pad among the available section headers. | Statement: PROPOSED 400 x 400 x 150mm CONCRETE PAD EXISTING CONCRETE ROOF -&gt; Rules Applied: None -&gt; Match Reason: The pricing catalog candidates provided only contain section headers and lack specific line items for a concrete pad installation.</t>
        </is>
      </c>
    </row>
    <row r="263" ht="26" customHeight="1">
      <c r="A263" s="7" t="inlineStr">
        <is>
          <t>UNQUOTED</t>
        </is>
      </c>
      <c r="B263" s="8" t="inlineStr"/>
      <c r="C263" s="9" t="inlineStr"/>
      <c r="D263" s="9" t="inlineStr">
        <is>
          <t>each</t>
        </is>
      </c>
      <c r="E263" s="10" t="n">
        <v>0</v>
      </c>
      <c r="F263" s="11" t="n">
        <v>0</v>
      </c>
      <c r="G263" s="12">
        <f>E263*F263</f>
        <v/>
      </c>
      <c r="H263" s="7" t="inlineStr"/>
    </row>
    <row r="264" ht="26" customHeight="1">
      <c r="A264" s="7" t="inlineStr">
        <is>
          <t>UNQUOTED</t>
        </is>
      </c>
      <c r="B264" s="8" t="inlineStr"/>
      <c r="C264" s="9" t="inlineStr"/>
      <c r="D264" s="9" t="inlineStr">
        <is>
          <t>each</t>
        </is>
      </c>
      <c r="E264" s="10" t="n">
        <v>0</v>
      </c>
      <c r="F264" s="11" t="n">
        <v>0</v>
      </c>
      <c r="G264" s="12">
        <f>E264*F264</f>
        <v/>
      </c>
      <c r="H264" s="7" t="inlineStr"/>
    </row>
    <row r="265" ht="26" customHeight="1">
      <c r="A265" s="7" t="inlineStr">
        <is>
          <t>UNQUOTED</t>
        </is>
      </c>
      <c r="B265" s="8" t="inlineStr"/>
      <c r="C265" s="9" t="inlineStr"/>
      <c r="D265" s="9" t="inlineStr">
        <is>
          <t>each</t>
        </is>
      </c>
      <c r="E265" s="10" t="n">
        <v>0</v>
      </c>
      <c r="F265" s="11" t="n">
        <v>0</v>
      </c>
      <c r="G265" s="12">
        <f>E265*F265</f>
        <v/>
      </c>
      <c r="H265" s="7" t="inlineStr"/>
    </row>
    <row r="266" ht="26" customHeight="1">
      <c r="A266" s="7" t="inlineStr">
        <is>
          <t>UNQUOTED</t>
        </is>
      </c>
      <c r="B266" s="8" t="inlineStr"/>
      <c r="C266" s="9" t="inlineStr"/>
      <c r="D266" s="9" t="inlineStr">
        <is>
          <t>each</t>
        </is>
      </c>
      <c r="E266" s="10" t="n">
        <v>0</v>
      </c>
      <c r="F266" s="11" t="n">
        <v>0</v>
      </c>
      <c r="G266" s="12">
        <f>E266*F266</f>
        <v/>
      </c>
      <c r="H266" s="7" t="inlineStr"/>
    </row>
    <row r="267" ht="26" customHeight="1">
      <c r="A267" s="7" t="inlineStr">
        <is>
          <t>UNQUOTED</t>
        </is>
      </c>
      <c r="B267" s="8" t="inlineStr"/>
      <c r="C267" s="9" t="inlineStr"/>
      <c r="D267" s="9" t="inlineStr">
        <is>
          <t>each</t>
        </is>
      </c>
      <c r="E267" s="10" t="n">
        <v>0</v>
      </c>
      <c r="F267" s="11" t="n">
        <v>0</v>
      </c>
      <c r="G267" s="12">
        <f>E267*F267</f>
        <v/>
      </c>
      <c r="H267" s="7" t="inlineStr"/>
    </row>
    <row r="268" ht="26" customHeight="1">
      <c r="A268" s="7" t="inlineStr">
        <is>
          <t>UNQUOTED</t>
        </is>
      </c>
      <c r="B268" s="8" t="inlineStr"/>
      <c r="C268" s="9" t="inlineStr"/>
      <c r="D268" s="9" t="inlineStr">
        <is>
          <t>each</t>
        </is>
      </c>
      <c r="E268" s="10" t="n">
        <v>0</v>
      </c>
      <c r="F268" s="11" t="n">
        <v>0</v>
      </c>
      <c r="G268" s="12">
        <f>E268*F268</f>
        <v/>
      </c>
      <c r="H268" s="7" t="inlineStr"/>
    </row>
    <row r="269" ht="26" customHeight="1">
      <c r="A269" s="7" t="inlineStr">
        <is>
          <t>UNQUOTED</t>
        </is>
      </c>
      <c r="B269" s="8" t="inlineStr">
        <is>
          <t>Non-SOR &amp; Unquoted Items</t>
        </is>
      </c>
      <c r="C269" s="9" t="inlineStr"/>
      <c r="D269" s="9" t="inlineStr">
        <is>
          <t>each</t>
        </is>
      </c>
      <c r="E269" s="10" t="n">
        <v>0</v>
      </c>
      <c r="F269" s="11" t="n">
        <v>0</v>
      </c>
      <c r="G269" s="12">
        <f>E269*F269</f>
        <v/>
      </c>
      <c r="H269" s="7" t="inlineStr"/>
    </row>
    <row r="270" ht="26" customHeight="1">
      <c r="A270" s="7" t="inlineStr">
        <is>
          <t>UNQUOTED</t>
        </is>
      </c>
      <c r="B270" s="8" t="inlineStr"/>
      <c r="C270" s="9" t="inlineStr"/>
      <c r="D270" s="9" t="inlineStr">
        <is>
          <t>each</t>
        </is>
      </c>
      <c r="E270" s="10" t="n">
        <v>0</v>
      </c>
      <c r="F270" s="11" t="n">
        <v>0</v>
      </c>
      <c r="G270" s="12">
        <f>E270*F270</f>
        <v/>
      </c>
      <c r="H270" s="7" t="inlineStr"/>
    </row>
    <row r="271" ht="26" customHeight="1">
      <c r="A271" s="7" t="inlineStr">
        <is>
          <t>UNQUOTED</t>
        </is>
      </c>
      <c r="B271" s="8" t="inlineStr">
        <is>
          <t>Non-SOR &amp; Unquoted Items</t>
        </is>
      </c>
      <c r="C271" s="9" t="inlineStr"/>
      <c r="D271" s="9" t="inlineStr">
        <is>
          <t>each</t>
        </is>
      </c>
      <c r="E271" s="10" t="n">
        <v>0</v>
      </c>
      <c r="F271" s="11" t="n">
        <v>0</v>
      </c>
      <c r="G271" s="12">
        <f>E271*F271</f>
        <v/>
      </c>
      <c r="H271" s="7" t="inlineStr"/>
    </row>
    <row r="272" ht="26" customHeight="1">
      <c r="A272" s="7" t="inlineStr">
        <is>
          <t>UNQUOTED</t>
        </is>
      </c>
      <c r="B272" s="8" t="inlineStr">
        <is>
          <t>Non-SOR &amp; Unquoted Items</t>
        </is>
      </c>
      <c r="C272" s="9" t="inlineStr"/>
      <c r="D272" s="9" t="inlineStr">
        <is>
          <t>each</t>
        </is>
      </c>
      <c r="E272" s="10" t="n">
        <v>0</v>
      </c>
      <c r="F272" s="11" t="n">
        <v>0</v>
      </c>
      <c r="G272" s="12">
        <f>E272*F272</f>
        <v/>
      </c>
      <c r="H272" s="7" t="inlineStr"/>
    </row>
    <row r="273" ht="26" customHeight="1">
      <c r="A273" s="7" t="inlineStr">
        <is>
          <t>UNQUOTED</t>
        </is>
      </c>
      <c r="B273" s="8" t="inlineStr">
        <is>
          <t>Non-SOR &amp; Unquoted Items</t>
        </is>
      </c>
      <c r="C273" s="9" t="inlineStr"/>
      <c r="D273" s="9" t="inlineStr">
        <is>
          <t>each</t>
        </is>
      </c>
      <c r="E273" s="10" t="n">
        <v>0</v>
      </c>
      <c r="F273" s="11" t="n">
        <v>0</v>
      </c>
      <c r="G273" s="12">
        <f>E273*F273</f>
        <v/>
      </c>
      <c r="H273" s="7" t="inlineStr"/>
    </row>
    <row r="274" ht="26" customHeight="1">
      <c r="A274" s="7" t="inlineStr">
        <is>
          <t>UNQUOTED</t>
        </is>
      </c>
      <c r="B274" s="8" t="inlineStr">
        <is>
          <t>None</t>
        </is>
      </c>
      <c r="C274" s="9" t="inlineStr"/>
      <c r="D274" s="9" t="inlineStr">
        <is>
          <t>each</t>
        </is>
      </c>
      <c r="E274" s="10" t="n">
        <v>0</v>
      </c>
      <c r="F274" s="11" t="n">
        <v>0</v>
      </c>
      <c r="G274" s="12">
        <f>E274*F274</f>
        <v/>
      </c>
      <c r="H274" s="7" t="inlineStr"/>
    </row>
    <row r="275" ht="26" customHeight="1">
      <c r="A275" s="7" t="inlineStr">
        <is>
          <t>UNQUOTED</t>
        </is>
      </c>
      <c r="B275" s="8" t="inlineStr">
        <is>
          <t>Non-SOR &amp; Unquoted Items</t>
        </is>
      </c>
      <c r="C275" s="9" t="inlineStr"/>
      <c r="D275" s="9" t="inlineStr">
        <is>
          <t>each</t>
        </is>
      </c>
      <c r="E275" s="10" t="n">
        <v>0</v>
      </c>
      <c r="F275" s="11" t="n">
        <v>0</v>
      </c>
      <c r="G275" s="12">
        <f>E275*F275</f>
        <v/>
      </c>
      <c r="H275" s="7" t="inlineStr"/>
    </row>
    <row r="276" ht="26" customHeight="1">
      <c r="A276" s="7" t="inlineStr">
        <is>
          <t>UNQUOTED</t>
        </is>
      </c>
      <c r="B276" s="8" t="inlineStr">
        <is>
          <t>Non-SOR &amp; Unquoted Items</t>
        </is>
      </c>
      <c r="C276" s="9" t="inlineStr"/>
      <c r="D276" s="9" t="inlineStr">
        <is>
          <t>each</t>
        </is>
      </c>
      <c r="E276" s="10" t="n">
        <v>0</v>
      </c>
      <c r="F276" s="11" t="n">
        <v>0</v>
      </c>
      <c r="G276" s="12">
        <f>E276*F276</f>
        <v/>
      </c>
      <c r="H276" s="7" t="inlineStr"/>
    </row>
    <row r="277" ht="26" customHeight="1">
      <c r="A277" s="7" t="inlineStr">
        <is>
          <t>UNQUOTED</t>
        </is>
      </c>
      <c r="B277" s="8" t="inlineStr">
        <is>
          <t>Non-SOR &amp; Unquoted Items</t>
        </is>
      </c>
      <c r="C277" s="9" t="inlineStr"/>
      <c r="D277" s="9" t="inlineStr">
        <is>
          <t>each</t>
        </is>
      </c>
      <c r="E277" s="10" t="n">
        <v>0</v>
      </c>
      <c r="F277" s="11" t="n">
        <v>0</v>
      </c>
      <c r="G277" s="12">
        <f>E277*F277</f>
        <v/>
      </c>
      <c r="H277" s="7" t="inlineStr"/>
    </row>
    <row r="278" ht="40" customHeight="1">
      <c r="A278" s="7" t="inlineStr">
        <is>
          <t>UNQUOTED</t>
        </is>
      </c>
      <c r="B278" s="8" t="inlineStr">
        <is>
          <t>EXISTING TELSTRA EQUIPMENT SHELTER TO ACCOMMODATE PROPOSED TELSTRA EQUIPMENT. REFER TO SHEET E1 FOR DETAILS</t>
        </is>
      </c>
      <c r="C278" s="9" t="inlineStr"/>
      <c r="D278" s="9" t="inlineStr">
        <is>
          <t>each</t>
        </is>
      </c>
      <c r="E278" s="10" t="n">
        <v>0</v>
      </c>
      <c r="F278" s="11" t="n">
        <v>0</v>
      </c>
      <c r="G278" s="12">
        <f>E278*F278</f>
        <v/>
      </c>
      <c r="H278" s="7" t="inlineStr"/>
    </row>
    <row r="279" ht="26" customHeight="1">
      <c r="A279" s="7" t="inlineStr">
        <is>
          <t>UNQUOTED</t>
        </is>
      </c>
      <c r="B279" s="8" t="inlineStr"/>
      <c r="C279" s="9" t="inlineStr"/>
      <c r="D279" s="9" t="inlineStr">
        <is>
          <t>each</t>
        </is>
      </c>
      <c r="E279" s="10" t="n">
        <v>0</v>
      </c>
      <c r="F279" s="11" t="n">
        <v>0</v>
      </c>
      <c r="G279" s="12">
        <f>E279*F279</f>
        <v/>
      </c>
      <c r="H279" s="7" t="inlineStr"/>
    </row>
    <row r="280" ht="26" customHeight="1">
      <c r="A280" s="7" t="inlineStr">
        <is>
          <t>UNQUOTED</t>
        </is>
      </c>
      <c r="B280" s="8" t="inlineStr"/>
      <c r="C280" s="9" t="inlineStr"/>
      <c r="D280" s="9" t="inlineStr">
        <is>
          <t>each</t>
        </is>
      </c>
      <c r="E280" s="10" t="n">
        <v>0</v>
      </c>
      <c r="F280" s="11" t="n">
        <v>0</v>
      </c>
      <c r="G280" s="12">
        <f>E280*F280</f>
        <v/>
      </c>
      <c r="H280" s="7" t="inlineStr"/>
    </row>
    <row r="281" ht="26" customHeight="1">
      <c r="A281" s="7" t="inlineStr">
        <is>
          <t>UNQUOTED</t>
        </is>
      </c>
      <c r="B281" s="8" t="inlineStr"/>
      <c r="C281" s="9" t="inlineStr"/>
      <c r="D281" s="9" t="inlineStr">
        <is>
          <t>each</t>
        </is>
      </c>
      <c r="E281" s="10" t="n">
        <v>0</v>
      </c>
      <c r="F281" s="11" t="n">
        <v>0</v>
      </c>
      <c r="G281" s="12">
        <f>E281*F281</f>
        <v/>
      </c>
      <c r="H281" s="7" t="inlineStr"/>
    </row>
    <row r="282" ht="26" customHeight="1">
      <c r="A282" s="7" t="inlineStr">
        <is>
          <t>UNQUOTED</t>
        </is>
      </c>
      <c r="B282" s="8" t="inlineStr"/>
      <c r="C282" s="9" t="inlineStr"/>
      <c r="D282" s="9" t="inlineStr">
        <is>
          <t>each</t>
        </is>
      </c>
      <c r="E282" s="10" t="n">
        <v>0</v>
      </c>
      <c r="F282" s="11" t="n">
        <v>0</v>
      </c>
      <c r="G282" s="12">
        <f>E282*F282</f>
        <v/>
      </c>
      <c r="H282" s="7" t="inlineStr"/>
    </row>
    <row r="283" ht="26" customHeight="1">
      <c r="A283" s="7" t="inlineStr">
        <is>
          <t>UNQUOTED</t>
        </is>
      </c>
      <c r="B283" s="8" t="inlineStr">
        <is>
          <t>Non-SOR &amp; Unquoted Items</t>
        </is>
      </c>
      <c r="C283" s="9" t="inlineStr"/>
      <c r="D283" s="9" t="inlineStr">
        <is>
          <t>each</t>
        </is>
      </c>
      <c r="E283" s="10" t="n">
        <v>0</v>
      </c>
      <c r="F283" s="11" t="n">
        <v>0</v>
      </c>
      <c r="G283" s="12">
        <f>E283*F283</f>
        <v/>
      </c>
      <c r="H283" s="7" t="inlineStr"/>
    </row>
    <row r="284" ht="40" customHeight="1">
      <c r="A284" s="7" t="inlineStr">
        <is>
          <t>UNQUOTED</t>
        </is>
      </c>
      <c r="B284" s="8" t="inlineStr">
        <is>
          <t>EXISTING TELSTRA EQUIPMENT SHELTER TO ACCOMMODATE PROPOSED TELSTRA EQUIPMENT. REFER TO SHEET E1 FOR DETAILS</t>
        </is>
      </c>
      <c r="C284" s="9" t="inlineStr"/>
      <c r="D284" s="9" t="inlineStr">
        <is>
          <t>each</t>
        </is>
      </c>
      <c r="E284" s="10" t="n">
        <v>0</v>
      </c>
      <c r="F284" s="11" t="n">
        <v>0</v>
      </c>
      <c r="G284" s="12">
        <f>E284*F284</f>
        <v/>
      </c>
      <c r="H284" s="7" t="inlineStr"/>
    </row>
    <row r="285" ht="26" customHeight="1">
      <c r="A285" s="7" t="inlineStr">
        <is>
          <t>UNQUOTED</t>
        </is>
      </c>
      <c r="B285" s="8" t="inlineStr"/>
      <c r="C285" s="9" t="inlineStr"/>
      <c r="D285" s="9" t="inlineStr">
        <is>
          <t>each</t>
        </is>
      </c>
      <c r="E285" s="10" t="n">
        <v>0</v>
      </c>
      <c r="F285" s="11" t="n">
        <v>0</v>
      </c>
      <c r="G285" s="12">
        <f>E285*F285</f>
        <v/>
      </c>
      <c r="H285" s="7" t="inlineStr"/>
    </row>
    <row r="286" ht="40" customHeight="1">
      <c r="A286" s="7" t="inlineStr">
        <is>
          <t>UNQUOTED</t>
        </is>
      </c>
      <c r="B286" s="8" t="inlineStr">
        <is>
          <t>EXISTING TELSTRA EQUIPMENT SHELTER TO ACCOMMODATE PROPOSED TELSTRA EQUIPMENT. REFER TO SHEET E1 FOR DETAILS</t>
        </is>
      </c>
      <c r="C286" s="9" t="inlineStr"/>
      <c r="D286" s="9" t="inlineStr">
        <is>
          <t>each</t>
        </is>
      </c>
      <c r="E286" s="10" t="n">
        <v>0</v>
      </c>
      <c r="F286" s="11" t="n">
        <v>0</v>
      </c>
      <c r="G286" s="12">
        <f>E286*F286</f>
        <v/>
      </c>
      <c r="H286" s="7" t="inlineStr"/>
    </row>
    <row r="287" ht="26" customHeight="1">
      <c r="A287" s="7" t="inlineStr">
        <is>
          <t>UNQUOTED</t>
        </is>
      </c>
      <c r="B287" s="8" t="inlineStr"/>
      <c r="C287" s="9" t="inlineStr"/>
      <c r="D287" s="9" t="inlineStr">
        <is>
          <t>each</t>
        </is>
      </c>
      <c r="E287" s="10" t="n">
        <v>0</v>
      </c>
      <c r="F287" s="11" t="n">
        <v>0</v>
      </c>
      <c r="G287" s="12">
        <f>E287*F287</f>
        <v/>
      </c>
      <c r="H287" s="7" t="inlineStr"/>
    </row>
    <row r="288" ht="40" customHeight="1">
      <c r="A288" s="7" t="inlineStr">
        <is>
          <t>UNQUOTED</t>
        </is>
      </c>
      <c r="B288" s="8" t="inlineStr">
        <is>
          <t>EXISTING TELSTRA EQUIPMENT SHELTER TO ACCOMMODATE PROPOSED TELSTRA EQUIPMENT. REFER TO SHEET E1 FOR DETAILS</t>
        </is>
      </c>
      <c r="C288" s="9" t="inlineStr"/>
      <c r="D288" s="9" t="inlineStr">
        <is>
          <t>each</t>
        </is>
      </c>
      <c r="E288" s="10" t="n">
        <v>0</v>
      </c>
      <c r="F288" s="11" t="n">
        <v>0</v>
      </c>
      <c r="G288" s="12">
        <f>E288*F288</f>
        <v/>
      </c>
      <c r="H288" s="7" t="inlineStr"/>
    </row>
    <row r="289" ht="26" customHeight="1">
      <c r="A289" s="7" t="inlineStr">
        <is>
          <t>UNQUOTED</t>
        </is>
      </c>
      <c r="B289" s="8" t="inlineStr">
        <is>
          <t>Non-SOR &amp; Unquoted Items</t>
        </is>
      </c>
      <c r="C289" s="9" t="inlineStr"/>
      <c r="D289" s="9" t="inlineStr">
        <is>
          <t>each</t>
        </is>
      </c>
      <c r="E289" s="10" t="n">
        <v>0</v>
      </c>
      <c r="F289" s="11" t="n">
        <v>0</v>
      </c>
      <c r="G289" s="12">
        <f>E289*F289</f>
        <v/>
      </c>
      <c r="H289" s="7" t="inlineStr"/>
    </row>
    <row r="290" ht="26" customHeight="1">
      <c r="A290" s="7" t="inlineStr">
        <is>
          <t>UNQUOTED</t>
        </is>
      </c>
      <c r="B290" s="8" t="inlineStr">
        <is>
          <t>Non-SOR &amp; Unquoted Items</t>
        </is>
      </c>
      <c r="C290" s="9" t="inlineStr"/>
      <c r="D290" s="9" t="inlineStr">
        <is>
          <t>each</t>
        </is>
      </c>
      <c r="E290" s="10" t="n">
        <v>0</v>
      </c>
      <c r="F290" s="11" t="n">
        <v>0</v>
      </c>
      <c r="G290" s="12">
        <f>E290*F290</f>
        <v/>
      </c>
      <c r="H290" s="7" t="inlineStr"/>
    </row>
    <row r="291" ht="26" customHeight="1">
      <c r="A291" s="7" t="inlineStr">
        <is>
          <t>UNQUOTED</t>
        </is>
      </c>
      <c r="B291" s="8" t="inlineStr"/>
      <c r="C291" s="9" t="inlineStr"/>
      <c r="D291" s="9" t="inlineStr">
        <is>
          <t>each</t>
        </is>
      </c>
      <c r="E291" s="10" t="n">
        <v>0</v>
      </c>
      <c r="F291" s="11" t="n">
        <v>0</v>
      </c>
      <c r="G291" s="12">
        <f>E291*F291</f>
        <v/>
      </c>
      <c r="H291" s="7" t="inlineStr"/>
    </row>
    <row r="292" ht="40" customHeight="1">
      <c r="A292" s="7" t="inlineStr">
        <is>
          <t>UNQUOTED</t>
        </is>
      </c>
      <c r="B292" s="8" t="inlineStr">
        <is>
          <t>EXISTING TELSTRA EQUIPMENT SHELTER TO ACCOMMODATE PROPOSED TELSTRA EQUIPMENT. REFER TO SHEET E1 FOR DETAILS</t>
        </is>
      </c>
      <c r="C292" s="9" t="inlineStr"/>
      <c r="D292" s="9" t="inlineStr">
        <is>
          <t>each</t>
        </is>
      </c>
      <c r="E292" s="10" t="n">
        <v>0</v>
      </c>
      <c r="F292" s="11" t="n">
        <v>0</v>
      </c>
      <c r="G292" s="12">
        <f>E292*F292</f>
        <v/>
      </c>
      <c r="H292" s="7" t="inlineStr"/>
    </row>
    <row r="293" ht="26" customHeight="1">
      <c r="A293" s="7" t="inlineStr">
        <is>
          <t>UNQUOTED</t>
        </is>
      </c>
      <c r="B293" s="8" t="inlineStr">
        <is>
          <t>Non-SOR &amp; Unquoted Items</t>
        </is>
      </c>
      <c r="C293" s="9" t="inlineStr"/>
      <c r="D293" s="9" t="inlineStr">
        <is>
          <t>each</t>
        </is>
      </c>
      <c r="E293" s="10" t="n">
        <v>0</v>
      </c>
      <c r="F293" s="11" t="n">
        <v>0</v>
      </c>
      <c r="G293" s="12">
        <f>E293*F293</f>
        <v/>
      </c>
      <c r="H293" s="7" t="inlineStr"/>
    </row>
    <row r="294" ht="26" customHeight="1">
      <c r="A294" s="7" t="inlineStr">
        <is>
          <t>UNQUOTED</t>
        </is>
      </c>
      <c r="B294" s="8" t="inlineStr"/>
      <c r="C294" s="9" t="inlineStr"/>
      <c r="D294" s="9" t="inlineStr">
        <is>
          <t>each</t>
        </is>
      </c>
      <c r="E294" s="10" t="n">
        <v>0</v>
      </c>
      <c r="F294" s="11" t="n">
        <v>0</v>
      </c>
      <c r="G294" s="12">
        <f>E294*F294</f>
        <v/>
      </c>
      <c r="H294" s="7" t="inlineStr"/>
    </row>
    <row r="295" ht="26" customHeight="1">
      <c r="A295" s="7" t="inlineStr">
        <is>
          <t>UNQUOTED</t>
        </is>
      </c>
      <c r="B295" s="8" t="inlineStr">
        <is>
          <t>Non-SOR &amp; Unquoted Items</t>
        </is>
      </c>
      <c r="C295" s="9" t="inlineStr"/>
      <c r="D295" s="9" t="inlineStr">
        <is>
          <t>each</t>
        </is>
      </c>
      <c r="E295" s="10" t="n">
        <v>0</v>
      </c>
      <c r="F295" s="11" t="n">
        <v>0</v>
      </c>
      <c r="G295" s="12">
        <f>E295*F295</f>
        <v/>
      </c>
      <c r="H295" s="7" t="inlineStr"/>
    </row>
    <row r="296" ht="26" customHeight="1">
      <c r="A296" s="7" t="inlineStr">
        <is>
          <t>UNQUOTED</t>
        </is>
      </c>
      <c r="B296" s="8" t="inlineStr"/>
      <c r="C296" s="9" t="inlineStr"/>
      <c r="D296" s="9" t="inlineStr">
        <is>
          <t>each</t>
        </is>
      </c>
      <c r="E296" s="10" t="n">
        <v>0</v>
      </c>
      <c r="F296" s="11" t="n">
        <v>0</v>
      </c>
      <c r="G296" s="12">
        <f>E296*F296</f>
        <v/>
      </c>
      <c r="H296" s="7" t="inlineStr"/>
    </row>
    <row r="297" ht="26" customHeight="1">
      <c r="A297" s="7" t="inlineStr">
        <is>
          <t>UNQUOTED</t>
        </is>
      </c>
      <c r="B297" s="8" t="inlineStr">
        <is>
          <t>Non-SOR &amp; Unquoted Items</t>
        </is>
      </c>
      <c r="C297" s="9" t="inlineStr"/>
      <c r="D297" s="9" t="inlineStr">
        <is>
          <t>each</t>
        </is>
      </c>
      <c r="E297" s="10" t="n">
        <v>0</v>
      </c>
      <c r="F297" s="11" t="n">
        <v>0</v>
      </c>
      <c r="G297" s="12">
        <f>E297*F297</f>
        <v/>
      </c>
      <c r="H297" s="7" t="inlineStr"/>
    </row>
    <row r="298" ht="26" customHeight="1">
      <c r="A298" s="7" t="inlineStr">
        <is>
          <t>UNQUOTED</t>
        </is>
      </c>
      <c r="B298" s="8" t="inlineStr">
        <is>
          <t>Non-SOR &amp; Unquoted Items</t>
        </is>
      </c>
      <c r="C298" s="9" t="inlineStr"/>
      <c r="D298" s="9" t="inlineStr">
        <is>
          <t>each</t>
        </is>
      </c>
      <c r="E298" s="10" t="n">
        <v>0</v>
      </c>
      <c r="F298" s="11" t="n">
        <v>0</v>
      </c>
      <c r="G298" s="12">
        <f>E298*F298</f>
        <v/>
      </c>
      <c r="H298" s="7" t="inlineStr"/>
    </row>
    <row r="299" ht="26" customHeight="1">
      <c r="A299" s="7" t="inlineStr">
        <is>
          <t>UNQUOTED</t>
        </is>
      </c>
      <c r="B299" s="8" t="inlineStr">
        <is>
          <t>Non-SOR &amp; Unquoted Items</t>
        </is>
      </c>
      <c r="C299" s="9" t="inlineStr"/>
      <c r="D299" s="9" t="inlineStr">
        <is>
          <t>each</t>
        </is>
      </c>
      <c r="E299" s="10" t="n">
        <v>0</v>
      </c>
      <c r="F299" s="11" t="n">
        <v>0</v>
      </c>
      <c r="G299" s="12">
        <f>E299*F299</f>
        <v/>
      </c>
      <c r="H299" s="7" t="inlineStr"/>
    </row>
    <row r="300" ht="26" customHeight="1">
      <c r="A300" s="7" t="inlineStr">
        <is>
          <t>UNQUOTED</t>
        </is>
      </c>
      <c r="B300" s="8" t="inlineStr"/>
      <c r="C300" s="9" t="inlineStr"/>
      <c r="D300" s="9" t="inlineStr">
        <is>
          <t>each</t>
        </is>
      </c>
      <c r="E300" s="10" t="n">
        <v>0</v>
      </c>
      <c r="F300" s="11" t="n">
        <v>0</v>
      </c>
      <c r="G300" s="12">
        <f>E300*F300</f>
        <v/>
      </c>
      <c r="H300" s="7" t="inlineStr"/>
    </row>
    <row r="301" ht="26" customHeight="1">
      <c r="A301" s="7" t="inlineStr">
        <is>
          <t>UNQUOTED</t>
        </is>
      </c>
      <c r="B301" s="8" t="inlineStr">
        <is>
          <t>Non-SOR &amp; Unquoted Items</t>
        </is>
      </c>
      <c r="C301" s="9" t="inlineStr"/>
      <c r="D301" s="9" t="inlineStr">
        <is>
          <t>each</t>
        </is>
      </c>
      <c r="E301" s="10" t="n">
        <v>0</v>
      </c>
      <c r="F301" s="11" t="n">
        <v>0</v>
      </c>
      <c r="G301" s="12">
        <f>E301*F301</f>
        <v/>
      </c>
      <c r="H301" s="7" t="inlineStr"/>
    </row>
    <row r="302" ht="26" customHeight="1">
      <c r="A302" s="7" t="inlineStr">
        <is>
          <t>UNQUOTED</t>
        </is>
      </c>
      <c r="B302" s="8" t="inlineStr">
        <is>
          <t>Non-SOR &amp; Unquoted Items</t>
        </is>
      </c>
      <c r="C302" s="9" t="inlineStr"/>
      <c r="D302" s="9" t="inlineStr">
        <is>
          <t>each</t>
        </is>
      </c>
      <c r="E302" s="10" t="n">
        <v>0</v>
      </c>
      <c r="F302" s="11" t="n">
        <v>0</v>
      </c>
      <c r="G302" s="12">
        <f>E302*F302</f>
        <v/>
      </c>
      <c r="H302" s="7" t="inlineStr"/>
    </row>
    <row r="303" ht="26" customHeight="1">
      <c r="A303" s="7" t="inlineStr">
        <is>
          <t>UNQUOTED</t>
        </is>
      </c>
      <c r="B303" s="8" t="inlineStr"/>
      <c r="C303" s="9" t="inlineStr"/>
      <c r="D303" s="9" t="inlineStr">
        <is>
          <t>each</t>
        </is>
      </c>
      <c r="E303" s="10" t="n">
        <v>0</v>
      </c>
      <c r="F303" s="11" t="n">
        <v>0</v>
      </c>
      <c r="G303" s="12">
        <f>E303*F303</f>
        <v/>
      </c>
      <c r="H303" s="7" t="inlineStr"/>
    </row>
    <row r="304" ht="26" customHeight="1">
      <c r="A304" s="7" t="inlineStr">
        <is>
          <t>UNQUOTED</t>
        </is>
      </c>
      <c r="B304" s="8" t="inlineStr">
        <is>
          <t>Non-SOR &amp; Unquoted Items</t>
        </is>
      </c>
      <c r="C304" s="9" t="inlineStr"/>
      <c r="D304" s="9" t="inlineStr">
        <is>
          <t>each</t>
        </is>
      </c>
      <c r="E304" s="10" t="n">
        <v>0</v>
      </c>
      <c r="F304" s="11" t="n">
        <v>0</v>
      </c>
      <c r="G304" s="12">
        <f>E304*F304</f>
        <v/>
      </c>
      <c r="H304" s="7" t="inlineStr"/>
    </row>
    <row r="305" ht="26" customHeight="1">
      <c r="A305" s="7" t="inlineStr">
        <is>
          <t>UNQUOTED</t>
        </is>
      </c>
      <c r="B305" s="8" t="inlineStr">
        <is>
          <t>Non-SOR &amp; Unquoted Items</t>
        </is>
      </c>
      <c r="C305" s="9" t="inlineStr"/>
      <c r="D305" s="9" t="inlineStr">
        <is>
          <t>each</t>
        </is>
      </c>
      <c r="E305" s="10" t="n">
        <v>0</v>
      </c>
      <c r="F305" s="11" t="n">
        <v>0</v>
      </c>
      <c r="G305" s="12">
        <f>E305*F305</f>
        <v/>
      </c>
      <c r="H305" s="7" t="inlineStr"/>
    </row>
    <row r="306" ht="26" customHeight="1">
      <c r="A306" s="7" t="inlineStr">
        <is>
          <t>UNQUOTED</t>
        </is>
      </c>
      <c r="B306" s="8" t="inlineStr"/>
      <c r="C306" s="9" t="inlineStr"/>
      <c r="D306" s="9" t="inlineStr">
        <is>
          <t>each</t>
        </is>
      </c>
      <c r="E306" s="10" t="n">
        <v>0</v>
      </c>
      <c r="F306" s="11" t="n">
        <v>0</v>
      </c>
      <c r="G306" s="12">
        <f>E306*F306</f>
        <v/>
      </c>
      <c r="H306" s="7" t="inlineStr"/>
    </row>
    <row r="307" ht="26" customHeight="1">
      <c r="A307" s="7" t="inlineStr">
        <is>
          <t>UNQUOTED</t>
        </is>
      </c>
      <c r="B307" s="8" t="inlineStr"/>
      <c r="C307" s="9" t="inlineStr"/>
      <c r="D307" s="9" t="inlineStr">
        <is>
          <t>each</t>
        </is>
      </c>
      <c r="E307" s="10" t="n">
        <v>0</v>
      </c>
      <c r="F307" s="11" t="n">
        <v>0</v>
      </c>
      <c r="G307" s="12">
        <f>E307*F307</f>
        <v/>
      </c>
      <c r="H307" s="7" t="inlineStr"/>
    </row>
    <row r="308" ht="26" customHeight="1">
      <c r="A308" s="7" t="inlineStr">
        <is>
          <t>UNQUOTED</t>
        </is>
      </c>
      <c r="B308" s="8" t="inlineStr">
        <is>
          <t>Non-SOR &amp; Unquoted Items</t>
        </is>
      </c>
      <c r="C308" s="9" t="inlineStr"/>
      <c r="D308" s="9" t="inlineStr">
        <is>
          <t>each</t>
        </is>
      </c>
      <c r="E308" s="10" t="n">
        <v>0</v>
      </c>
      <c r="F308" s="11" t="n">
        <v>0</v>
      </c>
      <c r="G308" s="12">
        <f>E308*F308</f>
        <v/>
      </c>
      <c r="H308" s="7" t="inlineStr"/>
    </row>
    <row r="309" ht="26" customHeight="1">
      <c r="A309" s="7" t="inlineStr">
        <is>
          <t>UNQUOTED</t>
        </is>
      </c>
      <c r="B309" s="8" t="inlineStr"/>
      <c r="C309" s="9" t="inlineStr"/>
      <c r="D309" s="9" t="inlineStr">
        <is>
          <t>each</t>
        </is>
      </c>
      <c r="E309" s="10" t="n">
        <v>0</v>
      </c>
      <c r="F309" s="11" t="n">
        <v>0</v>
      </c>
      <c r="G309" s="12">
        <f>E309*F309</f>
        <v/>
      </c>
      <c r="H309" s="7" t="inlineStr"/>
    </row>
    <row r="310" ht="26" customHeight="1">
      <c r="A310" s="7" t="inlineStr">
        <is>
          <t>UNQUOTED</t>
        </is>
      </c>
      <c r="B310" s="8" t="inlineStr">
        <is>
          <t>Non-SOR &amp; Unquoted Items</t>
        </is>
      </c>
      <c r="C310" s="9" t="inlineStr"/>
      <c r="D310" s="9" t="inlineStr">
        <is>
          <t>each</t>
        </is>
      </c>
      <c r="E310" s="10" t="n">
        <v>0</v>
      </c>
      <c r="F310" s="11" t="n">
        <v>0</v>
      </c>
      <c r="G310" s="12">
        <f>E310*F310</f>
        <v/>
      </c>
      <c r="H310" s="7" t="inlineStr"/>
    </row>
    <row r="311" ht="26" customHeight="1">
      <c r="A311" s="7" t="inlineStr">
        <is>
          <t>UNQUOTED</t>
        </is>
      </c>
      <c r="B311" s="8" t="inlineStr"/>
      <c r="C311" s="9" t="inlineStr"/>
      <c r="D311" s="9" t="inlineStr">
        <is>
          <t>each</t>
        </is>
      </c>
      <c r="E311" s="10" t="n">
        <v>0</v>
      </c>
      <c r="F311" s="11" t="n">
        <v>0</v>
      </c>
      <c r="G311" s="12">
        <f>E311*F311</f>
        <v/>
      </c>
      <c r="H311" s="7" t="inlineStr"/>
    </row>
    <row r="312" ht="26" customHeight="1">
      <c r="A312" s="13" t="inlineStr">
        <is>
          <t>UNQUOTED</t>
        </is>
      </c>
      <c r="B312" s="14" t="inlineStr"/>
      <c r="C312" s="15" t="inlineStr">
        <is>
          <t>INSTALL, RELOCATE, REMOVE, REPLACE, RETAIN</t>
        </is>
      </c>
      <c r="D312" s="15" t="inlineStr">
        <is>
          <t>each</t>
        </is>
      </c>
      <c r="E312" s="16" t="n">
        <v>0</v>
      </c>
      <c r="F312" s="17" t="n">
        <v>83</v>
      </c>
      <c r="G312" s="18">
        <f>E312*F312</f>
        <v/>
      </c>
      <c r="H312" s="13" t="inlineStr">
        <is>
          <t>Statement: Table row under EQUIPMENT NOTES - PROJECT NO. NA25797.01: INSTALL 1.0x model ERICSSON DCDU details TO BE INSTALLED IN PATHFINDER RACK AT RT/1/1 TO BE INSTALLED IN PATHFINDER RACK AT RT/1/1 with ID 11 on sector - -&gt; Rules Applied: None -&gt; Match Reason: No matching catalog item was found for the installation of an Ericsson DCDU power distribution unit under the provided pricing catalog candidates. | Statement: Table row under EQUIPMENT NOTES - PROJECT NO. NA25797.01: INSTALL 1.0x model KEREM A100 PDP details INSTALLED IN DECON RGL-091 RACK AT RT/2/3 INSTALLED IN DECON RGL-091 RACK AT RT/2/3 with ID 12 on sector - -&gt; Rules Applied: None -&gt; Match Reason: The pricing catalog only contains high-level section headers and no specific line items for installing a PDP (Power Distribution Panel) or equipment inside a rack. | Statement: Table row under EQUIPMENT NOTES - PROJECT NO. NA25797.01: INSTALL 1.0x model SLIDE OUT FIBRE MANAGEMENT TRAYS details TO BE INSTALLED IN PATHFINDER RACK AT RT/1/1 TO BE INSTALLED IN PATHFINDER RACK AT RT/1/1 with ID 22 on sector - -&gt; Rules Applied: None -&gt; Match Reason: None of the provided pricing catalog candidate section headers match the specific item 'SLIDE OUT FIBRE MANAGEMENT TRAYS' under the fibre management trays category or equipment installation in racks, and no specific line item candidates are present in the catalog. | Statement: Table row under EQUIPMENT NOTES - PROJECT NO. NA25797.01: REMOVE 1.0x model FIBRE MANAGEMENT TRAYS details - - with ID 23 on sector - -&gt; Rules Applied: None -&gt; Match Reason: None of the pricing catalog candidates match the requirement to remove FIBRE MANAGEMENT TRAYS. The only available candidate is a section header for 'Packaging of Recovered Material'. | Statement: Table row under EQUIPMENT NOTES - PROJECT NO. NA25797.01: INSTALL 3.0x model HYBRID CABLE MANAGEMENT TRAYS details TO BE INSTALLED IN PATHFINDER RACK RT/1/1 TO BE INSTALLED IN PATHFINDER RACK RT/1/1 with ID 24 on sector - -&gt; Rules Applied: None -&gt; Match Reason: The pricing catalog only contains section headers and no line items or specific pricing codes for cable management trays or support structures. | Statement: Table row under EQUIPMENT NOTES - PROJECT NO. NA25797.01: INSTALL 3.0x model 4490 ADAPTOR SHELFS details TO BE INSTALLED IN DECON RGL-091 RACK AT RT/2/3 TO BE INSTALLED IN DECON RGL-091 RACK AT RT/2/3 with ID 25 on sector - -&gt; Rules Applied: None -&gt; Match Reason: The pricing catalog candidates only contain section headers and lack specific line items for installing an adaptor shelf or equipment inside a shelter/rack. Therefore, a direct matching price code cannot be found. | Statement: Table row under EQUIPMENT NOTES - PROJECT NO. NA25797.01: INSTALL 1.0x model ERICSSON SITE CONTROLLER (ESC) details INSTALLED IN RT/2/4 RACK INSTALLED IN RT/2/4 RACK with ID 27 on sector - -&gt; Rules Applied: None -&gt; Match Reason: None of the pricing catalog candidates provide a specific line item for installing an Ericsson Site Controller (ESC) or equipment inside a rack. All candidates are high-level section headers without specific item codes or rates. | Statement: Table row under EQUIPMENT NOTES - PROJECT NO. NA25797.01: INSTALL 1.0x model RF JUMPER 1_5M N F TO SMA M details TSR951339/1500 TSR951339/1500 with ID 58 on sector - -&gt; Rules Applied: None -&gt; Match Reason: No specific pricing catalog candidate matches the installation of an RF Jumper with the specified model and details among the section headers provided. | Statement: Table row under MEMBER SCHEDULE (Part 1): INSTALL 1.0x model PROPOSED POLE Ø139.7x5.0Thk CHS, 3216mm LONG details   with ID P1 on sector - -&gt; Rules Applied: None -&gt; Match Reason: No matching pricing catalog item found for installing a specific POLE (Ø139.7x5.0Thk CHS, 3216mm LONG) within the provided candidates. | Statement: Table row under MEMBER SCHEDULE (Part 1): INSTALL 1.0x model PROPOSED POLE Ø139.7x5.0Thk CHS, 2494mm LONG details   with ID P2 on sector - -&gt; Rules Applied: None -&gt; Match Reason: None of the provided catalog candidates contain a matching item for installing a steel member pole of type CHS with diameter Ø139.7 and thickness 5.0Thk under the STEEL MEMBER category. | Statement: Table row under MEMBER SCHEDULE (Part 1): INSTALL 2.0x model PROPOSED HORIZONTAL BRACING Ø88.9x5.0Thk CHS, 1500mm LONG details   with ID BR1 on sector - -&gt; Rules Applied: None -&gt; Match Reason: No candidate item in the pricing catalog matches structural steel horizontal bracing members (Ø88.9x5.0Thk CHS, 1500mm LONG). | Statement: Table row under MEMBER SCHEDULE (Part 1): INSTALL 1.0x model PROPOSED HORIZONTAL BRACING Ø88.9x5.0Thk CHS, 2000mm LONG details   with ID BR2 on sector - -&gt; Rules Applied: None -&gt; Match Reason: None of the provided pricing catalog candidate items specifically cover structural steel horizontal bracing members like Ø88.9x5.0Thk CHS, 2000mm LONG. | Statement: Table row under MEMBER SCHEDULE (Part 1): INSTALL 2.0x model PROPOSED HORIZONTAL BRACING Ø76.1x5.9Thk CHS, 1500mm LONG details   with ID BR3 on sector - -&gt; Rules Applied: None -&gt; Match Reason: None of the provided catalog candidates correspond to structural steel elements such as horizontal bracings (Ø76.1x5.9Thk CHS). | Statement: Table row under MEMBER SCHEDULE (Part 1): INSTALL 1.0x model PROPOSED HORIZONTAL BRACING Ø88.9x5.0Thk CHS, 3500mm LONG details   with ID BR4 on sector - -&gt; Rules Applied: None -&gt; Match Reason: None of the active pricing catalog candidates provide a specific match for structural steel horizontal bracing members (CHS, 88.9mm x 5.0mm, 3500mm long) under the category constraint 'Structural Steel'. | Statement: Table row under MEMBER SCHEDULE (Part 2): INSTALL 4.0x model M16 U-BOLTS TO SUIT Ø139.7 CHS TO FIX PROPOSED POLE - P1 / P2 TO PL7 (# REFER NOTE 4) details   with ID UB1 on sector - -&gt; Rules Applied: None -&gt; Match Reason: The provided pricing catalog candidates only contain section headers and do not include specific line items for structural components such as U-BOLTS. Therefore, no matching catalog item could be selected. | Statement: Table row under MEMBER SCHEDULE (Part 2): INSTALL 4.0x model M16 U-BOLTS TO SUIT Ø139.7 CHS TO FIX PROPOSED POLE - P2 TO PL5 (# REFER NOTE 4) details   with ID UB1 on sector - -&gt; Rules Applied: None -&gt; Match Reason: No matching pricing catalog item was found for structural hardware (U-bolts) under the provided candidates. | Statement: Table row under MEMBER SCHEDULE (Part 2): INSTALL 4.0x model M16 U-BOLTS TO SUIT Ø88.9 CHS TO FIX PROPOSED BRACING - BR1 TO PL5 (# REFER NOTE 4) details   with ID UB2 on sector - -&gt; Rules Applied: None -&gt; Match Reason: The pricing catalog contains only section headers and no specific line items for U-bolts or structural bracing hardware installation. Therefore, the item falls under Unquoted Items. | Statement: Table row under MEMBER SCHEDULE (Part 2): INSTALL 8.0x model M16 U-BOLTS TO SUIT Ø88.9 CHS TO FIX PROPOSED BRACING - BR1 TO PL6 (# REFER NOTE 4) details   with ID UB2 on sector - -&gt; Rules Applied: None -&gt; Match Reason: No direct matching pricing catalog item for installing M16 U-bolts for structural bracing was found in the provided candidates. | Statement: Table row under MEMBER SCHEDULE: INSTALL 3.0x model PROPOSED EME CHAIN BARRIER SUPPORT WITH 4 Nos HILTI ANCHORS details   with ID PROPOSED EME CHAIN BARRIER SUPPORT WITH 4 Nos HILTI ANCHORS on sector - -&gt; Rules Applied: None -&gt; Match Reason: The pricing catalog candidates only contain high-level section headers and do not include specific line items for EME chain barrier supports, structural barrier installation, or specific structural support items matching the extracted entity. | Statement: EXISTING TELSTRA EQUIPMENT SHELTER TO ACCOMMODATE PROPOSED TELSTRA EQUIPMENT. REFER TO SHEET E1 FOR DETAILS -&gt; Rules Applied: None -&gt; Match Reason: The item matches the exact drawing note description for an existing Telstra equipment shelter to be retained, mapping correctly to the unquoted item with the 'RETAIN' action constraint. | Statement: PROPOSED TELSTRA-
HANDRAILS (TYP.) -&gt; Rules Applied: None -&gt; Match Reason: No matching catalog item was found for the installation of Telstra handrails among the provided candidates. | Statement: PROPOSED TELSTRA METAL CHAIN BARRIER WITH SUPPORT POSTS. REFER TO SHEET T8-7 FOR DETAILS -&gt; Rules Applied: None -&gt; Match Reason: No direct pricing catalog candidate exists for a Telstra Metal Chain Barrier with Support Posts under Civil Infrastructure within the provided catalog list. | Statement: NOTE: ANY GANTRY TRAY COVERS SHOWING SIGNS OF SIGNIFICANT WEAR AND TEAR SHALL BE REPLACED WITH NEW COVERS -&gt; Rules Applied: None -&gt; Match Reason: No specific pricing catalog candidate matches 'Gantry tray covers' replacement within the available section headers. | Statement: EXISTING TELSTRA HORIZONTAL
MEMBERS (2 OFF) TO BE RELOCATED
600mm UP. REFER TO SHEETS T3-4
TO T3-12 FOR DETAILS -&gt; Rules Applied: None -&gt; Match Reason: None of the active pricing catalog candidates provide a matching item or category for relocating Telstra structural/horizontal members. | Statement: EXISTING TELSTRA EQUIPMENT SHELTER TO ACCOMMODATE PROPOSED TELSTRA EQUIPMENT. REFER TO SHEET E1 FOR DETAILS -&gt; Rules Applied: None -&gt; Match Reason: The extracted requirement specifies an existing Telstra equipment shelter to be retained, which matches the unquoted item specifically corresponding to the exact drawing note description and 'RETAIN' action constraint. | Statement: NOTE: ANY GANTRY TRAY COVERS SHOWING SIGNS OF SIGNIFICANT WEAR AND TEAR SHALL BE REPLACED WITH NEW COVERS -&gt; Rules Applied: None -&gt; Match Reason: No specific pricing catalog candidate matches 'Gantry tray covers' replacement under the available sections. | Statement: EXISTING TELSTRA EQUIPMENT SHELTER TO
ACCOMMODATE PROPOSED TELSTRA
EQUIPMENT. REFER TO SHEET E1 FOR DETAILS -&gt; Rules Applied: None -&gt; Match Reason: The item matches the extracted understanding and constraints for an existing Telstra equipment shelter with the action 'RETAIN'. As an existing structure that is not being newly installed or removed under standard billable schedule items, it correctly maps to the unquoted item with the exact drawing note description. | Statement: NOTE: ANY GANTRY TRAY COVERS SHOWING
SIGNS OF SIGNIFICANT WEAR AND TEAR SHALL
BE REPLACED WITH NEW COVERS -&gt; Rules Applied: None -&gt; Match Reason: No matching pricing catalog item found for replacing gantry tray covers in the provided candidates. | Statement: EXISTING TELSTRA EQUIPMENT SHELTER TO
ACCOMMODATE PROPOSED TELSTRA
EQUIPMENT. REFER TO SHEET E1 FOR DETAILS -&gt; Rules Applied: None -&gt; Match Reason: The entity represents an existing Telstra equipment shelter with the action constraint 'RETAIN'. Since existing retained structures do not map to billable installation items in the pricing catalog, it correctly matches the unquoted item corresponding to the exact drawing note. | Statement: NOTE: ANY GANTRY TRAY COVERS SHOWING
SIGNS OF SIGNIFICANT WEAR AND TEAR SHALL
BE REPLACED WITH NEW COVERS -&gt; Rules Applied: None -&gt; Match Reason: There are no specific catalog line items for replacing gantry tray covers in the provided catalog candidates. | Statement: EXISTING TELSTRA SPD MODIFICATION KIT (1 OFF) TO BE REUSED IN WEATHERPROOF ENCLOSURE INSTALLED ADJACENT TO EXISTING SPD BOX -&gt; Rules Applied: None -&gt; Match Reason: The requirement is to relocate and reuse an existing Telstra SPD Modification Kit into a new weatherproof enclosure. None of the provided catalog section headers or items directly cover the reuse, relocation, or installation of an existing SPD modification kit. | Statement: EXISTING TELSTRA LENMIC L600P2 RAC UNIT (2 OFF) TO BE REUSED.EXISTING TELSTRA FAN FILTER (1 OFF) TO BE RECOVERED AND REPLACED WITH PROPOSED TELSTRA VAK00019 FILTER (1 OFF) IN EXISTING LENMIC L355D FAN UNIT (1 OFF) -&gt; Rules Applied: None -&gt; Match Reason: The item is an existing RAC unit that is to be retained/reused (action: RETAIN), meaning no new installation, removal, or recovery work is required for billing. Existing retained equipment typically falls under unquoted items or carries a zero-rate cost since no catalog activity is triggered. | Statement: PROPOSED EQUIPMENT -&gt; Rules Applied: None -&gt; Match Reason: The extracted understanding refers to a general note for 'PROPOSED EQUIPMENT' without identifying a specific catalog item or type of equipment from the pricing schedule. Therefore, it is treated as an unquoted item. | Statement: PROPOSED TELSTRA HYBRID CABLE MGMT
TRAYS (3 OFF). EXISTING TELSTRA FIBRE
MGMT TRAY (1 OFF) TO BE RCOVERED -&gt; Rules Applied: None -&gt; Match Reason: The provided pricing catalog candidates only contain section headers and lack specific line items for installing and removing Telstra cable management trays. | Statement: EXISTING REDUNDANT PLINTH
EXISTING BUILDING
RECOVER EXISTING STEEL STRUCTURE
AND EXISTING PLINTH &amp; ANCHORS. REFER
TO NOTE 14 IN DEG. T3-8 -&gt; Rules Applied: None -&gt; Match Reason: No matching pricing catalog item was found for the removal of the existing redundant steel structure, plinth, and anchors. The only candidate available is a section header for packaging recovered material. | Statement: PROPOSED 16mm THK
BASE PLATE PL1 WITH
4-Ø18 HOLE FOR 4-M16
HILTI ANCHOR BOLTS -&gt; Rules Applied: None -&gt; Match Reason: No matching pricing catalog candidate exists for structural steel base plates and anchor bolts within the provided catalog sections. | Statement: NOTE FOR MANUFACTURER &amp; INSTALLER:
TRIAL ASSEMBLE PRIOR TO GALVANISING AND DELIVERY
TO SITE TO ENSURE CORRECT FIT AND NUMBER OF PARTS -&gt; Rules Applied: None -&gt; Match Reason: The requirement specifies a manufacturing and installation note for trial assembly prior to galvanising and delivery of steel structures, which does not directly map to a standard line item in the pricing catalog. | Statement: NOTES:
1.FOR STANDARD CONSTRUCTION NOTES REFER TO TELSTRA STANDARD
DRAWING 017866P05.
2. ALL DIMENSIONS ARE IN MILLIMETERS UNLESS SPECIFIED OTHERWISE.
3. HIGH STRENGTH BOLTS AND ALL SPRING WASHERS TO AS 1252.1 (2016)
GRADE /S U.N.O.
4. ALL BOLTS INCLUDING U-BOLTS TO BE SUPPLIED WITH CORRESPONDING
NUTS, SPRING WASHERS AND LOCKNUTS. REFER STANDARD DRAWING
017866P70 SHEET 4 ISSUE 4 FOR DETAILS.
5. ALL HOLLOW SECTIONS TO AS 1163 (2016) GRADE C250LO U.N.O. ALL HOT
ROLLED STEEL TO AS 3678 (2016) &amp; AS 3679 (2016) GRADE 300 U.N.O.
6. ALL STEELWORK TO BE IN ACCORDANCE WITH AS 4100 &amp; AS 1163.
7. ALL WELDING TO BE CATEGORY SP TO AS 1554 (2014) ALL WELDS TO BE
6mm CONTINUOUS FILLET WELDS U.N.O.
8. ALL STEELWORK TO BE HOT DIP GALVANIZED TO AS 4680, AS 1559
&amp; AS 1214.
9. APPLY 2 COATS OF ZINC RICH PAINT TO ALL FRESHLY CUT, WELDED OR
DRILLED STEEL ON SITE, REMOVE ALL SWARF, BURRS &amp; SHARP EDGES. -&gt; Rules Applied: None -&gt; Match Reason: The extracted requirement refers to general construction notes, standards, and specifications for steelwork (Steelwork and General Construction) rather than a specific billable commercial item in the catalog. Therefore, it falls under unquoted items. | Statement: RELOCATE EXISTING
HORIZONTAL MEMBER
WITH PLATES
UB5 (TYP.) -&gt; Rules Applied: None -&gt; Match Reason: No matching pricing catalog candidate found for relocating a horizontal structural member with plates (UB5). | Statement: NOTE FOR MANUFACTURER &amp; INSTALLER:
TRIAL ASSEMBLE PRIOR TO GALVANISING AND DELIVERY
TO SITE TO ENSURE CORRECT FIT AND NUMBER OF PARTS -&gt; Rules Applied: None -&gt; Match Reason: The requirement is for a trial assembly of a steel structure prior to galvanising and delivery, which is a manufacturing and pre-installation instruction note rather than a standard priced catalog item or installation rate in the provided pricing structure. | Statement: RELOCATE EXISTING
HORIZONTAL MEMBER
WITH PLATES -&gt; Rules Applied: None -&gt; Match Reason: No matching pricing catalog item was found for relocating an existing horizontal member with plates under structural steel or related sections. | Statement: NOTE FOR MANUFACTURER &amp; INSTALLER:
TRIAL ASSEMBLE PRIOR TO GALVANISING AND DELIVERY
TO SITE TO ENSURE CORRECT FIT AND NUMBER OF PARTS -&gt; Rules Applied: None -&gt; Match Reason: The requirement specifies a trial assembly of steel structures prior to galvanising and delivery, which is a manufacturing or pre-construction QA step not covered by the standard installation, maintenance, or material supply catalog items. | Statement: NOTE:
10.EXISTING DIAGONAL BRACE CONNECTION PLINTHS (4-OFF) AT SECTOR 1 AND 3 SHALL BE DEMOLISHED AND REPLACED WITH NEW PLINTHS (4-OFF). REFER TO DRG. T3-9, DETAIL-A FOR NEW PLINTH DETAILS.
11. DURING DEMOLITION OF EXISTING PLINTHS, EXISTING ANCHORS SHALL BE SITE-CUT FLUSH WITH THE STRUCTURAL ROOF LEVEL.FOR NEW PLINTH INSTALLATION, NEW ANCHORS SHALL BE INSTALLED WITH A MINIMUM CLEARANCE OF 50mm FROM ANY EXISTING ANCHOR.
12. TO MAINTAIN CLEARANCE BETWEEN EXISTING AND NEW ANCHORS, NEW PLINTHS SHALL BE INSTALLED APPROXIMATELY 120mm AWAY FROM THE EXISTING PLINTH LOCATION.
13. EXISTING 90x8 EA DIAGONAL BRACES SHALL BE SITE-CUT TO ALIGN WITH THE NEW PLINTH LOCATIONS. SITE-DRILL NEW Ø18 HOLES IN EXISTING 90x8 EA TO ACCOMMODATE 1xM16 GRADE 8.8/S BOLT, WITH A MINIMUM EDGE DISTANCE OF 30mm.
14. DEMOLITION AND RECONSTRUCTION OF EXISTING PLINTHS SHALL INCLUDE REMOVAL AND REINSTATEMENT OF ALL AFFECTED WATERPROOFING. NEW WATERPROOFING SHALL MATCH THE EXISTING SYSTEM IN TYPE AND PERFORMANCE, AND ALL DISTURBED AREAS SHALL BE MADE GOOD TO ENSURE FULL CONTINUITY AND WATERTIGHTNESS. -&gt; Rules Applied: None -&gt; Match Reason: The pricing catalog candidates only contain high-level section headers without specific items for structural plinths, concrete demolition, or replacement works matching the detailed requirements. | Statement: RELOCATE EXISTING HORIZONTAL
MEMBER WITH PLATES -&gt; Rules Applied: None -&gt; Match Reason: None of the provided pricing catalog candidates match the structural steel category or the requirement to relocate an existing horizontal member with plates. | Statement: NOTE FOR MANUFACTURER &amp; INSTALLER:
TRIAL ASSEMBLE PRIOR TO GALVANISING AND DELIVERY
TO SITE TO ENSURE CORRECT FIT AND NUMBER OF PARTS -&gt; Rules Applied: None -&gt; Match Reason: The requirement specifies a steel structure trial assembly instruction prior to galvanising and delivery, which does not directly map to any specific pricing catalog line item for installation or procurement in the provided standard pricing categories. | Statement: PROPOSED Ø10 SOLID ROD - RD1
LANYARD ATTACHMENT POINT -&gt; Rules Applied: None -&gt; Match Reason: No matching pricing catalog item was found for the solid rod lanyard attachment point in the available catalog sections. | Statement: NOTE FOR MANUFACTURER &amp; INSTALLER:
TRIAL ASSEMBLE PRIOR TO GALVANISING AND DELIVERY
TO SITE TO ENSURE CORRECT FIT AND NUMBER OF PARTS -&gt; Rules Applied: None -&gt; Match Reason: The requirement specifies a trial assembly of a steel structure prior to galvanising and delivery to site. This is a specialized manufacturing and pre-installation instruction rather than a standard catalog installation item, thus falling under non-SOR or unquoted items. | Statement: NOTE FOR MANUFACTURER &amp; INSTALLER:
TRIAL ASSEMBLE PRIOR TO GALVANISING AND DELIVERY
TO SITE TO ENSURE CORRECT FIT AND NUMBER OF PARTS -&gt; Rules Applied: None -&gt; Match Reason: The requirement specifies a manufacturing/fabrication instruction for a trial assembly prior to galvanising for a steel structure, which is a specialized note/condition rather than a standard priced catalog item for installation or equipment supply. | Statement: NOTE FOR MANUFACTURER &amp; INSTALLER:
TRIAL ASSEMBLE PRIOR TO GALVANISING AND DELIVERY
TO SITE TO ENSURE CORRECT FIT AND NUMBER OF PARTS -&gt; Rules Applied: None -&gt; Match Reason: The requirement specifies a trial assembly of a steel structure prior to galvanising and delivery, which is a manufacturing or pre-installation quality control note rather than a standard priced installation item in the provided catalog. | Statement: NOTE FOR MANUFACTURER &amp; INSTALLER:
TRIAL ASSEMBLE PRIOR TO GALVANISING AND DELIVERY
TO SITE TO ENSURE CORRECT FIT AND NUMBER OF PARTS -&gt; Rules Applied: None -&gt; Match Reason: The requirement specifies a pre-delivery trial assembly of a steel structure to ensure correct fit prior to galvanising. This is a manufacturer/installer preparation instruction rather than a standard priced catalog item, falling under unquoted or non-SOR items. | Statement: PROPOSED 400 x 400 x 150mm
CONCRETE PAD -&gt; Rules Applied: None -&gt; Match Reason: No matching pricing catalog item found for a 400x400x150mm concrete pad among the available section headers. | Statement: PROPOSED 400 x 400 x 150mm CONCRETE PAD EXISTING CONCRETE ROOF -&gt; Rules Applied: None -&gt; Match Reason: The pricing catalog candidates provided only contain section headers and lack specific line items for a concrete pad installation.</t>
        </is>
      </c>
    </row>
    <row r="313" ht="26" customHeight="1">
      <c r="A313" s="19" t="n"/>
      <c r="B313" s="20" t="inlineStr">
        <is>
          <t>TOTAL ESTIMATED COST (EXCLUDING GST)</t>
        </is>
      </c>
      <c r="C313" s="19" t="n"/>
      <c r="D313" s="19" t="n"/>
      <c r="E313" s="19" t="n"/>
      <c r="F313" s="19" t="n"/>
      <c r="G313" s="21">
        <f>SUM(G4:G312)</f>
        <v/>
      </c>
      <c r="H313" s="19" t="n"/>
    </row>
  </sheetData>
  <autoFilter ref="A3:H312"/>
  <mergeCells count="15">
    <mergeCell ref="A12:H12"/>
    <mergeCell ref="A4:H4"/>
    <mergeCell ref="A131:H131"/>
    <mergeCell ref="A261:H261"/>
    <mergeCell ref="A227:H227"/>
    <mergeCell ref="A24:H24"/>
    <mergeCell ref="A16:H16"/>
    <mergeCell ref="A242:H242"/>
    <mergeCell ref="A99:H99"/>
    <mergeCell ref="A115:H115"/>
    <mergeCell ref="A191:H191"/>
    <mergeCell ref="A247:H247"/>
    <mergeCell ref="A47:H47"/>
    <mergeCell ref="A1:H1"/>
    <mergeCell ref="A198:H19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2026-09-01T05:50:29Z</dcterms:created>
  <dcterms:modified xsi:type="dcterms:W3CDTF">2026-09-01T05:50:29Z</dcterms:modified>
</cp:coreProperties>
</file>
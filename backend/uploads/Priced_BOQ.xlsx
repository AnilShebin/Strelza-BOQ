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f Rates" sheetId="1" state="visible" r:id="rId1"/>
  </sheets>
  <definedNames>
    <definedName name="_xlnm._FilterDatabase" localSheetId="0" hidden="1">'Schedule of Rates'!$A$3:$G$222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376A"/>
      <sz val="14"/>
    </font>
    <font>
      <name val="Segoe UI"/>
      <b val="1"/>
      <color rgb="00FFFFFF"/>
      <sz val="11"/>
    </font>
    <font>
      <name val="Segoe UI"/>
      <b val="1"/>
      <color rgb="001F376A"/>
      <sz val="11"/>
    </font>
    <font>
      <name val="Segoe UI"/>
      <color rgb="002B3036"/>
      <sz val="10"/>
    </font>
    <font>
      <name val="Segoe UI"/>
      <b val="1"/>
      <color rgb="002B3036"/>
      <sz val="10"/>
    </font>
    <font>
      <name val="Segoe UI"/>
      <b val="1"/>
      <color rgb="001F376A"/>
      <sz val="10"/>
    </font>
  </fonts>
  <fills count="5">
    <fill>
      <patternFill/>
    </fill>
    <fill>
      <patternFill patternType="gray125"/>
    </fill>
    <fill>
      <patternFill patternType="solid">
        <fgColor rgb="001F376A"/>
        <bgColor rgb="001F376A"/>
      </patternFill>
    </fill>
    <fill>
      <patternFill patternType="solid">
        <fgColor rgb="00FFF3EA"/>
        <bgColor rgb="00FFF3EA"/>
      </patternFill>
    </fill>
    <fill>
      <patternFill patternType="solid">
        <fgColor rgb="00E2F0D9"/>
        <bgColor rgb="00E2F0D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F376A"/>
      </top>
      <bottom style="double">
        <color rgb="001F376A"/>
      </bottom>
    </border>
    <border>
      <top style="thin">
        <color rgb="001F376A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0" fillId="3" borderId="3" pivotButton="0" quotePrefix="0" xfId="0"/>
    <xf numFmtId="0" fontId="6" fillId="3" borderId="3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10" customWidth="1" min="4" max="4"/>
    <col width="15" customWidth="1" min="5" max="5"/>
    <col width="12" customWidth="1" min="6" max="6"/>
    <col width="20" customWidth="1" min="7" max="7"/>
  </cols>
  <sheetData>
    <row r="1" ht="35" customHeight="1">
      <c r="A1" s="1" t="inlineStr">
        <is>
          <t>SCHEDULE OF RATES (SOR) BILL OF QUANTITIES</t>
        </is>
      </c>
    </row>
    <row r="3" ht="28" customHeight="1">
      <c r="A3" s="2" t="inlineStr">
        <is>
          <t>SOR Code</t>
        </is>
      </c>
      <c r="B3" s="2" t="inlineStr">
        <is>
          <t>Item Description</t>
        </is>
      </c>
      <c r="C3" s="3" t="inlineStr">
        <is>
          <t>Action</t>
        </is>
      </c>
      <c r="D3" s="3" t="inlineStr">
        <is>
          <t>Unit</t>
        </is>
      </c>
      <c r="E3" s="4" t="inlineStr">
        <is>
          <t>Rate</t>
        </is>
      </c>
      <c r="F3" s="3" t="inlineStr">
        <is>
          <t>Quantity</t>
        </is>
      </c>
      <c r="G3" s="4" t="inlineStr">
        <is>
          <t>Total Cost</t>
        </is>
      </c>
    </row>
    <row r="4" ht="24" customHeight="1">
      <c r="A4" s="5" t="inlineStr">
        <is>
          <t>ANTENNA MOUNTS AND HEADFRAME (EX PLANT, FIM)</t>
        </is>
      </c>
      <c r="B4" s="6" t="n"/>
      <c r="C4" s="6" t="n"/>
      <c r="D4" s="6" t="n"/>
      <c r="E4" s="6" t="n"/>
      <c r="F4" s="6" t="n"/>
      <c r="G4" s="6" t="n"/>
    </row>
    <row r="5" ht="26" customHeight="1">
      <c r="A5" s="7" t="inlineStr"/>
      <c r="B5" s="8" t="inlineStr">
        <is>
          <t>Additional TUFT or equivalent style Antenna Single Stack POD</t>
        </is>
      </c>
      <c r="C5" s="9" t="inlineStr">
        <is>
          <t>INSTALL</t>
        </is>
      </c>
      <c r="D5" s="9" t="inlineStr">
        <is>
          <t>each</t>
        </is>
      </c>
      <c r="E5" s="10" t="n">
        <v>2418</v>
      </c>
      <c r="F5" s="11" t="n">
        <v>3</v>
      </c>
      <c r="G5" s="12">
        <f>E5*F5</f>
        <v/>
      </c>
    </row>
    <row r="6" ht="26" customHeight="1">
      <c r="A6" s="13" t="inlineStr"/>
      <c r="B6" s="14" t="inlineStr">
        <is>
          <t>Install new face mounts on existing structure</t>
        </is>
      </c>
      <c r="C6" s="15" t="inlineStr"/>
      <c r="D6" s="15" t="inlineStr">
        <is>
          <t>each</t>
        </is>
      </c>
      <c r="E6" s="16" t="n">
        <v>2184</v>
      </c>
      <c r="F6" s="17" t="n">
        <v>0</v>
      </c>
      <c r="G6" s="18">
        <f>E6*F6</f>
        <v/>
      </c>
    </row>
    <row r="7" ht="26" customHeight="1">
      <c r="A7" s="13" t="inlineStr">
        <is>
          <t>R13158</t>
        </is>
      </c>
      <c r="B7" s="14" t="inlineStr">
        <is>
          <t>Removal and Recovery of Existing headframe</t>
        </is>
      </c>
      <c r="C7" s="15" t="inlineStr"/>
      <c r="D7" s="15" t="inlineStr">
        <is>
          <t>each</t>
        </is>
      </c>
      <c r="E7" s="16" t="n">
        <v>3094</v>
      </c>
      <c r="F7" s="17" t="n">
        <v>0</v>
      </c>
      <c r="G7" s="18">
        <f>E7*F7</f>
        <v/>
      </c>
    </row>
    <row r="8" ht="26" customHeight="1">
      <c r="A8" s="13" t="inlineStr">
        <is>
          <t>R13160</t>
        </is>
      </c>
      <c r="B8" s="14" t="inlineStr">
        <is>
          <t>Removal and Recovery of Existing Single Turret Headframe</t>
        </is>
      </c>
      <c r="C8" s="15" t="inlineStr"/>
      <c r="D8" s="15" t="inlineStr">
        <is>
          <t>each</t>
        </is>
      </c>
      <c r="E8" s="16" t="n">
        <v>2938</v>
      </c>
      <c r="F8" s="17" t="n">
        <v>0</v>
      </c>
      <c r="G8" s="18">
        <f>E8*F8</f>
        <v/>
      </c>
    </row>
    <row r="9" ht="26" customHeight="1">
      <c r="A9" s="13" t="inlineStr">
        <is>
          <t>R13160</t>
        </is>
      </c>
      <c r="B9" s="14" t="inlineStr">
        <is>
          <t>Removal and Recovery of Existing Single Turret Headframe</t>
        </is>
      </c>
      <c r="C9" s="15" t="inlineStr"/>
      <c r="D9" s="15" t="inlineStr">
        <is>
          <t>each</t>
        </is>
      </c>
      <c r="E9" s="16" t="n">
        <v>4030</v>
      </c>
      <c r="F9" s="17" t="n">
        <v>0</v>
      </c>
      <c r="G9" s="18">
        <f>E9*F9</f>
        <v/>
      </c>
    </row>
    <row r="10" ht="40" customHeight="1">
      <c r="A10" s="13" t="inlineStr">
        <is>
          <t>R13161</t>
        </is>
      </c>
      <c r="B10" s="14" t="inlineStr">
        <is>
          <t>Removal and Recovery of Existing Dual Stacked Turret Headframe</t>
        </is>
      </c>
      <c r="C10" s="15" t="inlineStr"/>
      <c r="D10" s="15" t="inlineStr">
        <is>
          <t>each</t>
        </is>
      </c>
      <c r="E10" s="16" t="n">
        <v>3224</v>
      </c>
      <c r="F10" s="17" t="n">
        <v>0</v>
      </c>
      <c r="G10" s="18">
        <f>E10*F10</f>
        <v/>
      </c>
    </row>
    <row r="11" ht="40" customHeight="1">
      <c r="A11" s="13" t="inlineStr">
        <is>
          <t>R13161</t>
        </is>
      </c>
      <c r="B11" s="14" t="inlineStr">
        <is>
          <t>Removal and Recovery of Existing Dual Stacked Turret Headframe</t>
        </is>
      </c>
      <c r="C11" s="15" t="inlineStr"/>
      <c r="D11" s="15" t="inlineStr">
        <is>
          <t>each</t>
        </is>
      </c>
      <c r="E11" s="16" t="n">
        <v>8320</v>
      </c>
      <c r="F11" s="17" t="n">
        <v>0</v>
      </c>
      <c r="G11" s="18">
        <f>E11*F11</f>
        <v/>
      </c>
    </row>
    <row r="12" ht="26" customHeight="1">
      <c r="A12" s="13" t="inlineStr">
        <is>
          <t>W11428</t>
        </is>
      </c>
      <c r="B12" s="14" t="inlineStr">
        <is>
          <t>Antenna Headframe on a New Structure (monopole)</t>
        </is>
      </c>
      <c r="C12" s="15" t="inlineStr"/>
      <c r="D12" s="15" t="inlineStr">
        <is>
          <t>each</t>
        </is>
      </c>
      <c r="E12" s="16" t="n">
        <v>3497</v>
      </c>
      <c r="F12" s="17" t="n">
        <v>0</v>
      </c>
      <c r="G12" s="18">
        <f>E12*F12</f>
        <v/>
      </c>
    </row>
    <row r="13" ht="26" customHeight="1">
      <c r="A13" s="13" t="inlineStr">
        <is>
          <t>W11537</t>
        </is>
      </c>
      <c r="B13" s="14" t="inlineStr">
        <is>
          <t>Antenna Mounting Bar Assembly</t>
        </is>
      </c>
      <c r="C13" s="15" t="inlineStr"/>
      <c r="D13" s="15" t="inlineStr"/>
      <c r="E13" s="16" t="n">
        <v>0</v>
      </c>
      <c r="F13" s="17" t="n">
        <v>0</v>
      </c>
      <c r="G13" s="18">
        <f>E13*F13</f>
        <v/>
      </c>
    </row>
    <row r="14" ht="26" customHeight="1">
      <c r="A14" s="7" t="inlineStr">
        <is>
          <t>W13336</t>
        </is>
      </c>
      <c r="B14" s="8" t="inlineStr">
        <is>
          <t>TUFT or turret style Antenna Dual Stack headframe</t>
        </is>
      </c>
      <c r="C14" s="9" t="inlineStr">
        <is>
          <t>INSTALL</t>
        </is>
      </c>
      <c r="D14" s="9" t="inlineStr">
        <is>
          <t>each</t>
        </is>
      </c>
      <c r="E14" s="10" t="n">
        <v>2964</v>
      </c>
      <c r="F14" s="11" t="n">
        <v>3</v>
      </c>
      <c r="G14" s="12">
        <f>E14*F14</f>
        <v/>
      </c>
    </row>
    <row r="15" ht="26" customHeight="1">
      <c r="A15" s="13" t="inlineStr">
        <is>
          <t>W13338</t>
        </is>
      </c>
      <c r="B15" s="14" t="inlineStr">
        <is>
          <t>TUFT or turret style Antenna Single Stack headframe</t>
        </is>
      </c>
      <c r="C15" s="15" t="inlineStr"/>
      <c r="D15" s="15" t="inlineStr">
        <is>
          <t>each</t>
        </is>
      </c>
      <c r="E15" s="16" t="n">
        <v>2184</v>
      </c>
      <c r="F15" s="17" t="n">
        <v>0</v>
      </c>
      <c r="G15" s="18">
        <f>E15*F15</f>
        <v/>
      </c>
    </row>
    <row r="16" ht="26" customHeight="1">
      <c r="A16" s="13" t="inlineStr">
        <is>
          <t>W13349</t>
        </is>
      </c>
      <c r="B16" s="14" t="inlineStr">
        <is>
          <t>Install new Antenna or RRU mounting pipe</t>
        </is>
      </c>
      <c r="C16" s="15" t="inlineStr"/>
      <c r="D16" s="15" t="inlineStr">
        <is>
          <t>each</t>
        </is>
      </c>
      <c r="E16" s="16" t="n">
        <v>375.7</v>
      </c>
      <c r="F16" s="17" t="n">
        <v>0</v>
      </c>
      <c r="G16" s="18">
        <f>E16*F16</f>
        <v/>
      </c>
    </row>
    <row r="17" ht="54" customHeight="1">
      <c r="A17" s="13" t="inlineStr">
        <is>
          <t>W13351</t>
        </is>
      </c>
      <c r="B17" s="14" t="inlineStr">
        <is>
          <t>Collar Mount to Monopole comprising all necessary required banding and 3 x up to 3000 long pipes - Std Dwg 017866P133 (Sh6/7/11 or similar) (suitable for RRU, TMA, Antennas, etc)</t>
        </is>
      </c>
      <c r="C17" s="15" t="inlineStr"/>
      <c r="D17" s="15" t="inlineStr">
        <is>
          <t>each</t>
        </is>
      </c>
      <c r="E17" s="16" t="n">
        <v>3718</v>
      </c>
      <c r="F17" s="17" t="n">
        <v>0</v>
      </c>
      <c r="G17" s="18">
        <f>E17*F17</f>
        <v/>
      </c>
    </row>
    <row r="18" ht="26" customHeight="1">
      <c r="A18" s="13" t="inlineStr">
        <is>
          <t>W13704</t>
        </is>
      </c>
      <c r="B18" s="14" t="inlineStr">
        <is>
          <t>Headframe Rotation</t>
        </is>
      </c>
      <c r="C18" s="15" t="inlineStr"/>
      <c r="D18" s="15" t="inlineStr">
        <is>
          <t>Each</t>
        </is>
      </c>
      <c r="E18" s="16" t="n">
        <v>0</v>
      </c>
      <c r="F18" s="17" t="n">
        <v>0</v>
      </c>
      <c r="G18" s="18">
        <f>E18*F18</f>
        <v/>
      </c>
    </row>
    <row r="19" ht="26" customHeight="1">
      <c r="A19" s="13" t="inlineStr">
        <is>
          <t>W8671</t>
        </is>
      </c>
      <c r="B19" s="14" t="inlineStr">
        <is>
          <t>Antenna Headframe on Existing Structure (monopole)</t>
        </is>
      </c>
      <c r="C19" s="15" t="inlineStr"/>
      <c r="D19" s="15" t="inlineStr">
        <is>
          <t>each</t>
        </is>
      </c>
      <c r="E19" s="16" t="n">
        <v>6688.5</v>
      </c>
      <c r="F19" s="17" t="n">
        <v>0</v>
      </c>
      <c r="G19" s="18">
        <f>E19*F19</f>
        <v/>
      </c>
    </row>
    <row r="20" ht="24" customHeight="1">
      <c r="A20" s="5" t="inlineStr">
        <is>
          <t>ANTENNAS, RRUS, TMDS (EX PLANT, INC TESTING, FIM)</t>
        </is>
      </c>
      <c r="B20" s="6" t="n"/>
      <c r="C20" s="6" t="n"/>
      <c r="D20" s="6" t="n"/>
      <c r="E20" s="6" t="n"/>
      <c r="F20" s="6" t="n"/>
      <c r="G20" s="6" t="n"/>
    </row>
    <row r="21" ht="26" customHeight="1">
      <c r="A21" s="13" t="inlineStr"/>
      <c r="B21" s="14" t="inlineStr">
        <is>
          <t>One panel antenna (12 port )</t>
        </is>
      </c>
      <c r="C21" s="15" t="inlineStr"/>
      <c r="D21" s="15" t="inlineStr">
        <is>
          <t>each</t>
        </is>
      </c>
      <c r="E21" s="16" t="n">
        <v>1657.5</v>
      </c>
      <c r="F21" s="17" t="n">
        <v>0</v>
      </c>
      <c r="G21" s="18">
        <f>E21*F21</f>
        <v/>
      </c>
    </row>
    <row r="22" ht="26" customHeight="1">
      <c r="A22" s="13" t="inlineStr"/>
      <c r="B22" s="14" t="inlineStr">
        <is>
          <t>Recover GPS system</t>
        </is>
      </c>
      <c r="C22" s="15" t="inlineStr"/>
      <c r="D22" s="15" t="inlineStr"/>
      <c r="E22" s="16" t="n">
        <v>285</v>
      </c>
      <c r="F22" s="17" t="n">
        <v>0</v>
      </c>
      <c r="G22" s="18">
        <f>E22*F22</f>
        <v/>
      </c>
    </row>
    <row r="23" ht="26" customHeight="1">
      <c r="A23" s="7" t="inlineStr"/>
      <c r="B23" s="8" t="inlineStr">
        <is>
          <t>External Combiner</t>
        </is>
      </c>
      <c r="C23" s="9" t="inlineStr">
        <is>
          <t>INSTALL, RELOCATE</t>
        </is>
      </c>
      <c r="D23" s="9" t="inlineStr">
        <is>
          <t>each</t>
        </is>
      </c>
      <c r="E23" s="10" t="n">
        <v>422.5</v>
      </c>
      <c r="F23" s="11" t="n">
        <v>3</v>
      </c>
      <c r="G23" s="12">
        <f>E23*F23</f>
        <v/>
      </c>
    </row>
    <row r="24" ht="26" customHeight="1">
      <c r="A24" s="13" t="inlineStr"/>
      <c r="B24" s="14" t="inlineStr">
        <is>
          <t>Reconfigure L1800 RRUs to "B"Config</t>
        </is>
      </c>
      <c r="C24" s="15" t="inlineStr"/>
      <c r="D24" s="15" t="inlineStr">
        <is>
          <t>site</t>
        </is>
      </c>
      <c r="E24" s="16" t="n">
        <v>416</v>
      </c>
      <c r="F24" s="17" t="n">
        <v>0</v>
      </c>
      <c r="G24" s="18">
        <f>E24*F24</f>
        <v/>
      </c>
    </row>
    <row r="25" ht="26" customHeight="1">
      <c r="A25" s="7" t="inlineStr"/>
      <c r="B25" s="8" t="inlineStr">
        <is>
          <t>GPS antenna and receiver replacement</t>
        </is>
      </c>
      <c r="C25" s="9" t="inlineStr">
        <is>
          <t>INSTALL</t>
        </is>
      </c>
      <c r="D25" s="9" t="inlineStr">
        <is>
          <t>Each</t>
        </is>
      </c>
      <c r="E25" s="10" t="n">
        <v>460</v>
      </c>
      <c r="F25" s="11" t="n">
        <v>1</v>
      </c>
      <c r="G25" s="12">
        <f>E25*F25</f>
        <v/>
      </c>
    </row>
    <row r="26" ht="26" customHeight="1">
      <c r="A26" s="7" t="inlineStr">
        <is>
          <t>R12513</t>
        </is>
      </c>
      <c r="B26" s="8" t="inlineStr">
        <is>
          <t>Remove Panel Antenna</t>
        </is>
      </c>
      <c r="C26" s="9" t="inlineStr">
        <is>
          <t>RELOCATE</t>
        </is>
      </c>
      <c r="D26" s="9" t="inlineStr">
        <is>
          <t>each</t>
        </is>
      </c>
      <c r="E26" s="10" t="n">
        <v>125</v>
      </c>
      <c r="F26" s="11" t="n">
        <v>1</v>
      </c>
      <c r="G26" s="12">
        <f>E26*F26</f>
        <v/>
      </c>
    </row>
    <row r="27" ht="26" customHeight="1">
      <c r="A27" s="13" t="inlineStr">
        <is>
          <t>R12513</t>
        </is>
      </c>
      <c r="B27" s="14" t="inlineStr">
        <is>
          <t>Remove omni antenna</t>
        </is>
      </c>
      <c r="C27" s="15" t="inlineStr"/>
      <c r="D27" s="15" t="inlineStr">
        <is>
          <t>each</t>
        </is>
      </c>
      <c r="E27" s="16" t="n">
        <v>292.5</v>
      </c>
      <c r="F27" s="17" t="n">
        <v>0</v>
      </c>
      <c r="G27" s="18">
        <f>E27*F27</f>
        <v/>
      </c>
    </row>
    <row r="28" ht="26" customHeight="1">
      <c r="A28" s="13" t="inlineStr">
        <is>
          <t>R12513</t>
        </is>
      </c>
      <c r="B28" s="14" t="inlineStr">
        <is>
          <t>Tower Mounted Device (TMA, COM,FILTER)  Removal</t>
        </is>
      </c>
      <c r="C28" s="15" t="inlineStr"/>
      <c r="D28" s="15" t="inlineStr">
        <is>
          <t>each</t>
        </is>
      </c>
      <c r="E28" s="16" t="n">
        <v>292.5</v>
      </c>
      <c r="F28" s="17" t="n">
        <v>0</v>
      </c>
      <c r="G28" s="18">
        <f>E28*F28</f>
        <v/>
      </c>
    </row>
    <row r="29" ht="26" customHeight="1">
      <c r="A29" s="13" t="inlineStr">
        <is>
          <t>R12513</t>
        </is>
      </c>
      <c r="B29" s="14" t="inlineStr">
        <is>
          <t>Remote Radio Unit (RRU) Removal</t>
        </is>
      </c>
      <c r="C29" s="15" t="inlineStr"/>
      <c r="D29" s="15" t="inlineStr">
        <is>
          <t>each</t>
        </is>
      </c>
      <c r="E29" s="16" t="n">
        <v>292.5</v>
      </c>
      <c r="F29" s="17" t="n">
        <v>0</v>
      </c>
      <c r="G29" s="18">
        <f>E29*F29</f>
        <v/>
      </c>
    </row>
    <row r="30" ht="26" customHeight="1">
      <c r="A30" s="7" t="inlineStr">
        <is>
          <t>W12252</t>
        </is>
      </c>
      <c r="B30" s="8" t="inlineStr">
        <is>
          <t>Remote Radio Unit (RRU)</t>
        </is>
      </c>
      <c r="C30" s="9" t="inlineStr">
        <is>
          <t>INSTALL</t>
        </is>
      </c>
      <c r="D30" s="9" t="inlineStr">
        <is>
          <t>each</t>
        </is>
      </c>
      <c r="E30" s="10" t="n">
        <v>812.5</v>
      </c>
      <c r="F30" s="11" t="n">
        <v>2</v>
      </c>
      <c r="G30" s="12">
        <f>E30*F30</f>
        <v/>
      </c>
    </row>
    <row r="31" ht="26" customHeight="1">
      <c r="A31" s="13" t="inlineStr">
        <is>
          <t>W12253</t>
        </is>
      </c>
      <c r="B31" s="14" t="inlineStr">
        <is>
          <t>RRU x 1 - Extra over W12252 for each additional</t>
        </is>
      </c>
      <c r="C31" s="15" t="inlineStr"/>
      <c r="D31" s="15" t="inlineStr">
        <is>
          <t>each</t>
        </is>
      </c>
      <c r="E31" s="16" t="n">
        <v>525.85</v>
      </c>
      <c r="F31" s="17" t="n">
        <v>0</v>
      </c>
      <c r="G31" s="18">
        <f>E31*F31</f>
        <v/>
      </c>
    </row>
    <row r="32" ht="26" customHeight="1">
      <c r="A32" s="7" t="inlineStr">
        <is>
          <t>W12804</t>
        </is>
      </c>
      <c r="B32" s="8" t="inlineStr">
        <is>
          <t>GPS system</t>
        </is>
      </c>
      <c r="C32" s="9" t="inlineStr">
        <is>
          <t>INSTALL, REPLACE</t>
        </is>
      </c>
      <c r="D32" s="9" t="inlineStr">
        <is>
          <t>each</t>
        </is>
      </c>
      <c r="E32" s="10" t="n">
        <v>580.45</v>
      </c>
      <c r="F32" s="11" t="n">
        <v>3</v>
      </c>
      <c r="G32" s="12">
        <f>E32*F32</f>
        <v/>
      </c>
    </row>
    <row r="33" ht="26" customHeight="1">
      <c r="A33" s="13" t="inlineStr">
        <is>
          <t>W13174</t>
        </is>
      </c>
      <c r="B33" s="14" t="inlineStr">
        <is>
          <t>External RF tails up to 5m</t>
        </is>
      </c>
      <c r="C33" s="15" t="inlineStr"/>
      <c r="D33" s="15" t="inlineStr">
        <is>
          <t>each</t>
        </is>
      </c>
      <c r="E33" s="16" t="n">
        <v>103.35</v>
      </c>
      <c r="F33" s="17" t="n">
        <v>0</v>
      </c>
      <c r="G33" s="18">
        <f>E33*F33</f>
        <v/>
      </c>
    </row>
    <row r="34" ht="26" customHeight="1">
      <c r="A34" s="13" t="inlineStr">
        <is>
          <t>W13175</t>
        </is>
      </c>
      <c r="B34" s="14" t="inlineStr">
        <is>
          <t>Colour match hardware/antennas</t>
        </is>
      </c>
      <c r="C34" s="15" t="inlineStr"/>
      <c r="D34" s="15" t="inlineStr">
        <is>
          <t>each</t>
        </is>
      </c>
      <c r="E34" s="16" t="n">
        <v>178.75</v>
      </c>
      <c r="F34" s="17" t="n">
        <v>0</v>
      </c>
      <c r="G34" s="18">
        <f>E34*F34</f>
        <v/>
      </c>
    </row>
    <row r="35" ht="26" customHeight="1">
      <c r="A35" s="13" t="inlineStr">
        <is>
          <t>W13178</t>
        </is>
      </c>
      <c r="B35" s="14" t="inlineStr">
        <is>
          <t>One Panel antenna relocation</t>
        </is>
      </c>
      <c r="C35" s="15" t="inlineStr"/>
      <c r="D35" s="15" t="inlineStr">
        <is>
          <t>each</t>
        </is>
      </c>
      <c r="E35" s="16" t="n">
        <v>767</v>
      </c>
      <c r="F35" s="17" t="n">
        <v>0</v>
      </c>
      <c r="G35" s="18">
        <f>E35*F35</f>
        <v/>
      </c>
    </row>
    <row r="36" ht="26" customHeight="1">
      <c r="A36" s="13" t="inlineStr">
        <is>
          <t>W13178</t>
        </is>
      </c>
      <c r="B36" s="14" t="inlineStr">
        <is>
          <t>Tower Mounted Device (TMA, COM,FILTER)  Relocation</t>
        </is>
      </c>
      <c r="C36" s="15" t="inlineStr"/>
      <c r="D36" s="15" t="inlineStr">
        <is>
          <t>each</t>
        </is>
      </c>
      <c r="E36" s="16" t="n">
        <v>507</v>
      </c>
      <c r="F36" s="17" t="n">
        <v>0</v>
      </c>
      <c r="G36" s="18">
        <f>E36*F36</f>
        <v/>
      </c>
    </row>
    <row r="37" ht="26" customHeight="1">
      <c r="A37" s="7" t="inlineStr">
        <is>
          <t>W13178</t>
        </is>
      </c>
      <c r="B37" s="8" t="inlineStr">
        <is>
          <t>Remote Radio Unit (RRU) Relocation</t>
        </is>
      </c>
      <c r="C37" s="9" t="inlineStr">
        <is>
          <t>INSTALL, REPLACE</t>
        </is>
      </c>
      <c r="D37" s="9" t="inlineStr">
        <is>
          <t>each</t>
        </is>
      </c>
      <c r="E37" s="10" t="n">
        <v>507</v>
      </c>
      <c r="F37" s="11" t="n">
        <v>6</v>
      </c>
      <c r="G37" s="12">
        <f>E37*F37</f>
        <v/>
      </c>
    </row>
    <row r="38" ht="26" customHeight="1">
      <c r="A38" s="13" t="inlineStr">
        <is>
          <t>W13358</t>
        </is>
      </c>
      <c r="B38" s="14" t="inlineStr">
        <is>
          <t>One 5G AAU - first</t>
        </is>
      </c>
      <c r="C38" s="15" t="inlineStr"/>
      <c r="D38" s="15" t="inlineStr">
        <is>
          <t>each</t>
        </is>
      </c>
      <c r="E38" s="16" t="n">
        <v>1248</v>
      </c>
      <c r="F38" s="17" t="n">
        <v>0</v>
      </c>
      <c r="G38" s="18">
        <f>E38*F38</f>
        <v/>
      </c>
    </row>
    <row r="39" ht="26" customHeight="1">
      <c r="A39" s="13" t="inlineStr">
        <is>
          <t>W13359</t>
        </is>
      </c>
      <c r="B39" s="14" t="inlineStr">
        <is>
          <t>One 5G AAU - extra over</t>
        </is>
      </c>
      <c r="C39" s="15" t="inlineStr"/>
      <c r="D39" s="15" t="inlineStr">
        <is>
          <t>each</t>
        </is>
      </c>
      <c r="E39" s="16" t="n">
        <v>1001</v>
      </c>
      <c r="F39" s="17" t="n">
        <v>0</v>
      </c>
      <c r="G39" s="18">
        <f>E39*F39</f>
        <v/>
      </c>
    </row>
    <row r="40" ht="26" customHeight="1">
      <c r="A40" s="7" t="inlineStr">
        <is>
          <t>W13360</t>
        </is>
      </c>
      <c r="B40" s="8" t="inlineStr">
        <is>
          <t>One panel Antenna- extra over</t>
        </is>
      </c>
      <c r="C40" s="9" t="inlineStr">
        <is>
          <t>REPLACE</t>
        </is>
      </c>
      <c r="D40" s="9" t="inlineStr">
        <is>
          <t>each</t>
        </is>
      </c>
      <c r="E40" s="10" t="n">
        <v>579.8000000000001</v>
      </c>
      <c r="F40" s="11" t="n">
        <v>3</v>
      </c>
      <c r="G40" s="12">
        <f>E40*F40</f>
        <v/>
      </c>
    </row>
    <row r="41" ht="26" customHeight="1">
      <c r="A41" s="13" t="inlineStr">
        <is>
          <t>W7519</t>
        </is>
      </c>
      <c r="B41" s="14" t="inlineStr">
        <is>
          <t>OMNI Antenna</t>
        </is>
      </c>
      <c r="C41" s="15" t="inlineStr"/>
      <c r="D41" s="15" t="inlineStr">
        <is>
          <t>each</t>
        </is>
      </c>
      <c r="E41" s="16" t="n">
        <v>774.8000000000001</v>
      </c>
      <c r="F41" s="17" t="n">
        <v>0</v>
      </c>
      <c r="G41" s="18">
        <f>E41*F41</f>
        <v/>
      </c>
    </row>
    <row r="42" ht="26" customHeight="1">
      <c r="A42" s="13" t="inlineStr">
        <is>
          <t>W7520</t>
        </is>
      </c>
      <c r="B42" s="14" t="inlineStr">
        <is>
          <t>One panel Antenna</t>
        </is>
      </c>
      <c r="C42" s="15" t="inlineStr"/>
      <c r="D42" s="15" t="inlineStr">
        <is>
          <t>each</t>
        </is>
      </c>
      <c r="E42" s="16" t="n">
        <v>675</v>
      </c>
      <c r="F42" s="17" t="n">
        <v>0</v>
      </c>
      <c r="G42" s="18">
        <f>E42*F42</f>
        <v/>
      </c>
    </row>
    <row r="43" ht="26" customHeight="1">
      <c r="A43" s="13" t="inlineStr">
        <is>
          <t>W7893</t>
        </is>
      </c>
      <c r="B43" s="14" t="inlineStr">
        <is>
          <t>Tower Mounted Device (TMA, COM,FILTER)</t>
        </is>
      </c>
      <c r="C43" s="15" t="inlineStr"/>
      <c r="D43" s="15" t="inlineStr">
        <is>
          <t>each</t>
        </is>
      </c>
      <c r="E43" s="16" t="n">
        <v>400</v>
      </c>
      <c r="F43" s="17" t="n">
        <v>0</v>
      </c>
      <c r="G43" s="18">
        <f>E43*F43</f>
        <v/>
      </c>
    </row>
    <row r="44" ht="24" customHeight="1">
      <c r="A44" s="5" t="inlineStr">
        <is>
          <t>EQUIPMENT INSTALLED IN THE SHELTER</t>
        </is>
      </c>
      <c r="B44" s="6" t="n"/>
      <c r="C44" s="6" t="n"/>
      <c r="D44" s="6" t="n"/>
      <c r="E44" s="6" t="n"/>
      <c r="F44" s="6" t="n"/>
      <c r="G44" s="6" t="n"/>
    </row>
    <row r="45" ht="26" customHeight="1">
      <c r="A45" s="13" t="inlineStr"/>
      <c r="B45" s="14" t="inlineStr">
        <is>
          <t>Installation of DWDM chassis</t>
        </is>
      </c>
      <c r="C45" s="15" t="inlineStr"/>
      <c r="D45" s="15" t="inlineStr">
        <is>
          <t>Per unit</t>
        </is>
      </c>
      <c r="E45" s="16" t="n">
        <v>117</v>
      </c>
      <c r="F45" s="17" t="n">
        <v>0</v>
      </c>
      <c r="G45" s="18">
        <f>E45*F45</f>
        <v/>
      </c>
    </row>
    <row r="46" ht="26" customHeight="1">
      <c r="A46" s="13" t="inlineStr"/>
      <c r="B46" s="14" t="inlineStr">
        <is>
          <t>RBS6601 Recovery and return</t>
        </is>
      </c>
      <c r="C46" s="15" t="inlineStr"/>
      <c r="D46" s="15" t="inlineStr">
        <is>
          <t>per unit</t>
        </is>
      </c>
      <c r="E46" s="16" t="n">
        <v>162.5</v>
      </c>
      <c r="F46" s="17" t="n">
        <v>0</v>
      </c>
      <c r="G46" s="18">
        <f>E46*F46</f>
        <v/>
      </c>
    </row>
    <row r="47" ht="26" customHeight="1">
      <c r="A47" s="13" t="inlineStr"/>
      <c r="B47" s="14" t="inlineStr">
        <is>
          <t>CRAN site integration</t>
        </is>
      </c>
      <c r="C47" s="15" t="inlineStr"/>
      <c r="D47" s="15" t="inlineStr">
        <is>
          <t>site</t>
        </is>
      </c>
      <c r="E47" s="16" t="n">
        <v>1664</v>
      </c>
      <c r="F47" s="17" t="n">
        <v>0</v>
      </c>
      <c r="G47" s="18">
        <f>E47*F47</f>
        <v/>
      </c>
    </row>
    <row r="48" ht="26" customHeight="1">
      <c r="A48" s="13" t="inlineStr"/>
      <c r="B48" s="14" t="inlineStr">
        <is>
          <t>AC power works</t>
        </is>
      </c>
      <c r="C48" s="15" t="inlineStr"/>
      <c r="D48" s="15" t="inlineStr">
        <is>
          <t>site</t>
        </is>
      </c>
      <c r="E48" s="16" t="n">
        <v>0</v>
      </c>
      <c r="F48" s="17" t="n">
        <v>0</v>
      </c>
      <c r="G48" s="18">
        <f>E48*F48</f>
        <v/>
      </c>
    </row>
    <row r="49" ht="26" customHeight="1">
      <c r="A49" s="13" t="inlineStr"/>
      <c r="B49" s="14" t="inlineStr">
        <is>
          <t>RRU installed in shelter</t>
        </is>
      </c>
      <c r="C49" s="15" t="inlineStr"/>
      <c r="D49" s="15" t="inlineStr">
        <is>
          <t>each</t>
        </is>
      </c>
      <c r="E49" s="16" t="n">
        <v>475</v>
      </c>
      <c r="F49" s="17" t="n">
        <v>0</v>
      </c>
      <c r="G49" s="18">
        <f>E49*F49</f>
        <v/>
      </c>
    </row>
    <row r="50" ht="26" customHeight="1">
      <c r="A50" s="13" t="inlineStr"/>
      <c r="B50" s="14" t="inlineStr">
        <is>
          <t>RRU recovery from shelter</t>
        </is>
      </c>
      <c r="C50" s="15" t="inlineStr"/>
      <c r="D50" s="15" t="inlineStr">
        <is>
          <t>each</t>
        </is>
      </c>
      <c r="E50" s="16" t="n">
        <v>225</v>
      </c>
      <c r="F50" s="17" t="n">
        <v>0</v>
      </c>
      <c r="G50" s="18">
        <f>E50*F50</f>
        <v/>
      </c>
    </row>
    <row r="51" ht="26" customHeight="1">
      <c r="A51" s="7" t="inlineStr"/>
      <c r="B51" s="8" t="inlineStr">
        <is>
          <t>Quad band filter installed in shelter</t>
        </is>
      </c>
      <c r="C51" s="9" t="inlineStr">
        <is>
          <t>REPLACE</t>
        </is>
      </c>
      <c r="D51" s="9" t="inlineStr">
        <is>
          <t>each</t>
        </is>
      </c>
      <c r="E51" s="10" t="n">
        <v>375</v>
      </c>
      <c r="F51" s="11" t="n">
        <v>6</v>
      </c>
      <c r="G51" s="12">
        <f>E51*F51</f>
        <v/>
      </c>
    </row>
    <row r="52" ht="26" customHeight="1">
      <c r="A52" s="7" t="inlineStr"/>
      <c r="B52" s="8" t="inlineStr">
        <is>
          <t>DCDU installation</t>
        </is>
      </c>
      <c r="C52" s="9" t="inlineStr">
        <is>
          <t>INSTALL</t>
        </is>
      </c>
      <c r="D52" s="9" t="inlineStr">
        <is>
          <t>each</t>
        </is>
      </c>
      <c r="E52" s="10" t="n">
        <v>175.6</v>
      </c>
      <c r="F52" s="11" t="n">
        <v>1</v>
      </c>
      <c r="G52" s="12">
        <f>E52*F52</f>
        <v/>
      </c>
    </row>
    <row r="53" ht="26" customHeight="1">
      <c r="A53" s="7" t="inlineStr"/>
      <c r="B53" s="8" t="inlineStr">
        <is>
          <t>Replace VAK00019 Filter</t>
        </is>
      </c>
      <c r="C53" s="9" t="inlineStr">
        <is>
          <t>REPLACE</t>
        </is>
      </c>
      <c r="D53" s="9" t="inlineStr">
        <is>
          <t>each</t>
        </is>
      </c>
      <c r="E53" s="10" t="n">
        <v>115</v>
      </c>
      <c r="F53" s="11" t="n">
        <v>3</v>
      </c>
      <c r="G53" s="12">
        <f>E53*F53</f>
        <v/>
      </c>
    </row>
    <row r="54" ht="26" customHeight="1">
      <c r="A54" s="13" t="inlineStr"/>
      <c r="B54" s="14" t="inlineStr">
        <is>
          <t>Lemnic L600 Air conditioner</t>
        </is>
      </c>
      <c r="C54" s="15" t="inlineStr"/>
      <c r="D54" s="15" t="inlineStr">
        <is>
          <t>each</t>
        </is>
      </c>
      <c r="E54" s="16" t="n">
        <v>0</v>
      </c>
      <c r="F54" s="17" t="n">
        <v>0</v>
      </c>
      <c r="G54" s="18">
        <f>E54*F54</f>
        <v/>
      </c>
    </row>
    <row r="55" ht="26" customHeight="1">
      <c r="A55" s="13" t="inlineStr">
        <is>
          <t>R12516</t>
        </is>
      </c>
      <c r="B55" s="14" t="inlineStr">
        <is>
          <t>DC Power – Remove and Recover existing battery string</t>
        </is>
      </c>
      <c r="C55" s="15" t="inlineStr"/>
      <c r="D55" s="15" t="inlineStr">
        <is>
          <t>each</t>
        </is>
      </c>
      <c r="E55" s="16" t="n">
        <v>189.15</v>
      </c>
      <c r="F55" s="17" t="n">
        <v>0</v>
      </c>
      <c r="G55" s="18">
        <f>E55*F55</f>
        <v/>
      </c>
    </row>
    <row r="56" ht="26" customHeight="1">
      <c r="A56" s="13" t="inlineStr">
        <is>
          <t>R12517</t>
        </is>
      </c>
      <c r="B56" s="14" t="inlineStr">
        <is>
          <t>Recover Power Racks</t>
        </is>
      </c>
      <c r="C56" s="15" t="inlineStr"/>
      <c r="D56" s="15" t="inlineStr">
        <is>
          <t>each</t>
        </is>
      </c>
      <c r="E56" s="16" t="n">
        <v>425.1</v>
      </c>
      <c r="F56" s="17" t="n">
        <v>0</v>
      </c>
      <c r="G56" s="18">
        <f>E56*F56</f>
        <v/>
      </c>
    </row>
    <row r="57" ht="26" customHeight="1">
      <c r="A57" s="13" t="inlineStr">
        <is>
          <t>R12839</t>
        </is>
      </c>
      <c r="B57" s="14" t="inlineStr">
        <is>
          <t>Recovery of Racks</t>
        </is>
      </c>
      <c r="C57" s="15" t="inlineStr"/>
      <c r="D57" s="15" t="inlineStr">
        <is>
          <t>Each</t>
        </is>
      </c>
      <c r="E57" s="16" t="n">
        <v>515.45</v>
      </c>
      <c r="F57" s="17" t="n">
        <v>0</v>
      </c>
      <c r="G57" s="18">
        <f>E57*F57</f>
        <v/>
      </c>
    </row>
    <row r="58" ht="26" customHeight="1">
      <c r="A58" s="7" t="inlineStr">
        <is>
          <t>R13167</t>
        </is>
      </c>
      <c r="B58" s="8" t="inlineStr">
        <is>
          <t>Replace SPD</t>
        </is>
      </c>
      <c r="C58" s="9" t="inlineStr">
        <is>
          <t>INSTALL</t>
        </is>
      </c>
      <c r="D58" s="9" t="inlineStr">
        <is>
          <t>each</t>
        </is>
      </c>
      <c r="E58" s="10" t="n">
        <v>1190.28</v>
      </c>
      <c r="F58" s="11" t="n">
        <v>1</v>
      </c>
      <c r="G58" s="12">
        <f>E58*F58</f>
        <v/>
      </c>
    </row>
    <row r="59" ht="26" customHeight="1">
      <c r="A59" s="13" t="inlineStr">
        <is>
          <t>R13168</t>
        </is>
      </c>
      <c r="B59" s="14" t="inlineStr">
        <is>
          <t>Remove and Recover redundant SPD</t>
        </is>
      </c>
      <c r="C59" s="15" t="inlineStr"/>
      <c r="D59" s="15" t="inlineStr">
        <is>
          <t>each</t>
        </is>
      </c>
      <c r="E59" s="16" t="n">
        <v>256.75</v>
      </c>
      <c r="F59" s="17" t="n">
        <v>0</v>
      </c>
      <c r="G59" s="18">
        <f>E59*F59</f>
        <v/>
      </c>
    </row>
    <row r="60" ht="26" customHeight="1">
      <c r="A60" s="13" t="inlineStr">
        <is>
          <t>R13169</t>
        </is>
      </c>
      <c r="B60" s="14" t="inlineStr">
        <is>
          <t>Removal and Recover internal Filter or Combiner</t>
        </is>
      </c>
      <c r="C60" s="15" t="inlineStr"/>
      <c r="D60" s="15" t="inlineStr">
        <is>
          <t>each</t>
        </is>
      </c>
      <c r="E60" s="16" t="n">
        <v>49.4</v>
      </c>
      <c r="F60" s="17" t="n">
        <v>0</v>
      </c>
      <c r="G60" s="18">
        <f>E60*F60</f>
        <v/>
      </c>
    </row>
    <row r="61" ht="26" customHeight="1">
      <c r="A61" s="13" t="inlineStr">
        <is>
          <t>R13701</t>
        </is>
      </c>
      <c r="B61" s="14" t="inlineStr">
        <is>
          <t>Recovery of Baseband Unit, DUS or R503 (or similar)</t>
        </is>
      </c>
      <c r="C61" s="15" t="inlineStr"/>
      <c r="D61" s="15" t="inlineStr">
        <is>
          <t>Per unit</t>
        </is>
      </c>
      <c r="E61" s="16" t="n">
        <v>123.5</v>
      </c>
      <c r="F61" s="17" t="n">
        <v>0</v>
      </c>
      <c r="G61" s="18">
        <f>E61*F61</f>
        <v/>
      </c>
    </row>
    <row r="62" ht="26" customHeight="1">
      <c r="A62" s="7" t="inlineStr">
        <is>
          <t>W10376</t>
        </is>
      </c>
      <c r="B62" s="8" t="inlineStr">
        <is>
          <t>Install optical fibre patch panel</t>
        </is>
      </c>
      <c r="C62" s="9" t="inlineStr">
        <is>
          <t>INSTALL</t>
        </is>
      </c>
      <c r="D62" s="9" t="inlineStr">
        <is>
          <t>Each</t>
        </is>
      </c>
      <c r="E62" s="10" t="n">
        <v>51</v>
      </c>
      <c r="F62" s="11" t="n">
        <v>1</v>
      </c>
      <c r="G62" s="12">
        <f>E62*F62</f>
        <v/>
      </c>
    </row>
    <row r="63" ht="26" customHeight="1">
      <c r="A63" s="13" t="inlineStr">
        <is>
          <t>W11781</t>
        </is>
      </c>
      <c r="B63" s="14" t="inlineStr">
        <is>
          <t>Miscellaneous Rack</t>
        </is>
      </c>
      <c r="C63" s="15" t="inlineStr"/>
      <c r="D63" s="15" t="inlineStr">
        <is>
          <t>each</t>
        </is>
      </c>
      <c r="E63" s="16" t="n">
        <v>550.16</v>
      </c>
      <c r="F63" s="17" t="n">
        <v>0</v>
      </c>
      <c r="G63" s="18">
        <f>E63*F63</f>
        <v/>
      </c>
    </row>
    <row r="64" ht="40" customHeight="1">
      <c r="A64" s="13" t="inlineStr">
        <is>
          <t>W11784</t>
        </is>
      </c>
      <c r="B64" s="14" t="inlineStr">
        <is>
          <t>Call / Data Test for 3G installation (first carrier per sector only)</t>
        </is>
      </c>
      <c r="C64" s="15" t="inlineStr"/>
      <c r="D64" s="15" t="inlineStr">
        <is>
          <t>per sector</t>
        </is>
      </c>
      <c r="E64" s="16" t="n">
        <v>104</v>
      </c>
      <c r="F64" s="17" t="n">
        <v>0</v>
      </c>
      <c r="G64" s="18">
        <f>E64*F64</f>
        <v/>
      </c>
    </row>
    <row r="65" ht="26" customHeight="1">
      <c r="A65" s="7" t="inlineStr">
        <is>
          <t>W11785</t>
        </is>
      </c>
      <c r="B65" s="8" t="inlineStr">
        <is>
          <t>Install and commission DUS/DUW</t>
        </is>
      </c>
      <c r="C65" s="9" t="inlineStr">
        <is>
          <t>INSTALL</t>
        </is>
      </c>
      <c r="D65" s="9" t="inlineStr">
        <is>
          <t>per unit</t>
        </is>
      </c>
      <c r="E65" s="10" t="n">
        <v>247</v>
      </c>
      <c r="F65" s="11" t="n">
        <v>1</v>
      </c>
      <c r="G65" s="12">
        <f>E65*F65</f>
        <v/>
      </c>
    </row>
    <row r="66" ht="26" customHeight="1">
      <c r="A66" s="13" t="inlineStr">
        <is>
          <t>W12239</t>
        </is>
      </c>
      <c r="B66" s="14" t="inlineStr">
        <is>
          <t>Radio Donor Rack</t>
        </is>
      </c>
      <c r="C66" s="15" t="inlineStr"/>
      <c r="D66" s="15" t="inlineStr">
        <is>
          <t>each</t>
        </is>
      </c>
      <c r="E66" s="16" t="n">
        <v>552.6</v>
      </c>
      <c r="F66" s="17" t="n">
        <v>0</v>
      </c>
      <c r="G66" s="18">
        <f>E66*F66</f>
        <v/>
      </c>
    </row>
    <row r="67" ht="26" customHeight="1">
      <c r="A67" s="13" t="inlineStr">
        <is>
          <t>W12243</t>
        </is>
      </c>
      <c r="B67" s="14" t="inlineStr">
        <is>
          <t>Internal Surge Protection Device (SPD)</t>
        </is>
      </c>
      <c r="C67" s="15" t="inlineStr"/>
      <c r="D67" s="15" t="inlineStr">
        <is>
          <t>Each</t>
        </is>
      </c>
      <c r="E67" s="16" t="n">
        <v>1047.15</v>
      </c>
      <c r="F67" s="17" t="n">
        <v>0</v>
      </c>
      <c r="G67" s="18">
        <f>E67*F67</f>
        <v/>
      </c>
    </row>
    <row r="68" ht="26" customHeight="1">
      <c r="A68" s="13" t="inlineStr">
        <is>
          <t>W12553</t>
        </is>
      </c>
      <c r="B68" s="14" t="inlineStr">
        <is>
          <t>Node B (6202)</t>
        </is>
      </c>
      <c r="C68" s="15" t="inlineStr"/>
      <c r="D68" s="15" t="inlineStr">
        <is>
          <t>each</t>
        </is>
      </c>
      <c r="E68" s="16" t="n">
        <v>1677</v>
      </c>
      <c r="F68" s="17" t="n">
        <v>0</v>
      </c>
      <c r="G68" s="18">
        <f>E68*F68</f>
        <v/>
      </c>
    </row>
    <row r="69" ht="26" customHeight="1">
      <c r="A69" s="13" t="inlineStr">
        <is>
          <t>W12802</t>
        </is>
      </c>
      <c r="B69" s="14" t="inlineStr">
        <is>
          <t>DC/DC Converter – in Existing Power System</t>
        </is>
      </c>
      <c r="C69" s="15" t="inlineStr"/>
      <c r="D69" s="15" t="inlineStr">
        <is>
          <t>each</t>
        </is>
      </c>
      <c r="E69" s="16" t="n">
        <v>1008.8</v>
      </c>
      <c r="F69" s="17" t="n">
        <v>0</v>
      </c>
      <c r="G69" s="18">
        <f>E69*F69</f>
        <v/>
      </c>
    </row>
    <row r="70" ht="26" customHeight="1">
      <c r="A70" s="13" t="inlineStr">
        <is>
          <t>W12803</t>
        </is>
      </c>
      <c r="B70" s="14" t="inlineStr">
        <is>
          <t>DC/DC Converter – in Existing Power System</t>
        </is>
      </c>
      <c r="C70" s="15" t="inlineStr"/>
      <c r="D70" s="15" t="inlineStr">
        <is>
          <t>each</t>
        </is>
      </c>
      <c r="E70" s="16" t="n">
        <v>72.8</v>
      </c>
      <c r="F70" s="17" t="n">
        <v>0</v>
      </c>
      <c r="G70" s="18">
        <f>E70*F70</f>
        <v/>
      </c>
    </row>
    <row r="71" ht="26" customHeight="1">
      <c r="A71" s="13" t="inlineStr">
        <is>
          <t>W12840</t>
        </is>
      </c>
      <c r="B71" s="14" t="inlineStr">
        <is>
          <t>External Surge Protection Device (SPD)</t>
        </is>
      </c>
      <c r="C71" s="15" t="inlineStr"/>
      <c r="D71" s="15" t="inlineStr">
        <is>
          <t>Each</t>
        </is>
      </c>
      <c r="E71" s="16" t="n">
        <v>1164.28</v>
      </c>
      <c r="F71" s="17" t="n">
        <v>0</v>
      </c>
      <c r="G71" s="18">
        <f>E71*F71</f>
        <v/>
      </c>
    </row>
    <row r="72" ht="26" customHeight="1">
      <c r="A72" s="13" t="inlineStr">
        <is>
          <t>W13163</t>
        </is>
      </c>
      <c r="B72" s="14" t="inlineStr">
        <is>
          <t>One (1) new MTP patch panel in existing or new Rack</t>
        </is>
      </c>
      <c r="C72" s="15" t="inlineStr"/>
      <c r="D72" s="15" t="inlineStr">
        <is>
          <t>each</t>
        </is>
      </c>
      <c r="E72" s="16" t="n">
        <v>178.1</v>
      </c>
      <c r="F72" s="17" t="n">
        <v>0</v>
      </c>
      <c r="G72" s="18">
        <f>E72*F72</f>
        <v/>
      </c>
    </row>
    <row r="73" ht="26" customHeight="1">
      <c r="A73" s="13" t="inlineStr">
        <is>
          <t>W13164</t>
        </is>
      </c>
      <c r="B73" s="14" t="inlineStr">
        <is>
          <t>Two (2) new MTP patch panels in existing or new Racks</t>
        </is>
      </c>
      <c r="C73" s="15" t="inlineStr"/>
      <c r="D73" s="15" t="inlineStr">
        <is>
          <t>each</t>
        </is>
      </c>
      <c r="E73" s="16" t="n">
        <v>366.6</v>
      </c>
      <c r="F73" s="17" t="n">
        <v>0</v>
      </c>
      <c r="G73" s="18">
        <f>E73*F73</f>
        <v/>
      </c>
    </row>
    <row r="74" ht="26" customHeight="1">
      <c r="A74" s="13" t="inlineStr">
        <is>
          <t>W13165</t>
        </is>
      </c>
      <c r="B74" s="14" t="inlineStr">
        <is>
          <t>Relocate existing Card (RBS6601).</t>
        </is>
      </c>
      <c r="C74" s="15" t="inlineStr"/>
      <c r="D74" s="15" t="inlineStr">
        <is>
          <t>each</t>
        </is>
      </c>
      <c r="E74" s="16" t="n">
        <v>187.2</v>
      </c>
      <c r="F74" s="17" t="n">
        <v>0</v>
      </c>
      <c r="G74" s="18">
        <f>E74*F74</f>
        <v/>
      </c>
    </row>
    <row r="75" ht="26" customHeight="1">
      <c r="A75" s="13" t="inlineStr">
        <is>
          <t>W13166</t>
        </is>
      </c>
      <c r="B75" s="14" t="inlineStr">
        <is>
          <t>Relocate existing SPD up to 10 metres</t>
        </is>
      </c>
      <c r="C75" s="15" t="inlineStr"/>
      <c r="D75" s="15" t="inlineStr">
        <is>
          <t>each</t>
        </is>
      </c>
      <c r="E75" s="16" t="n">
        <v>1267.5</v>
      </c>
      <c r="F75" s="17" t="n">
        <v>0</v>
      </c>
      <c r="G75" s="18">
        <f>E75*F75</f>
        <v/>
      </c>
    </row>
    <row r="76" ht="26" customHeight="1">
      <c r="A76" s="13" t="inlineStr">
        <is>
          <t>W13170</t>
        </is>
      </c>
      <c r="B76" s="14" t="inlineStr">
        <is>
          <t>Relocate internal Filter or Combiner</t>
        </is>
      </c>
      <c r="C76" s="15" t="inlineStr"/>
      <c r="D76" s="15" t="inlineStr">
        <is>
          <t>each</t>
        </is>
      </c>
      <c r="E76" s="16" t="n">
        <v>97.5</v>
      </c>
      <c r="F76" s="17" t="n">
        <v>0</v>
      </c>
      <c r="G76" s="18">
        <f>E76*F76</f>
        <v/>
      </c>
    </row>
    <row r="77" ht="26" customHeight="1">
      <c r="A77" s="13" t="inlineStr">
        <is>
          <t>W13171</t>
        </is>
      </c>
      <c r="B77" s="14" t="inlineStr">
        <is>
          <t>Relocate Equipment Rack</t>
        </is>
      </c>
      <c r="C77" s="15" t="inlineStr"/>
      <c r="D77" s="15" t="inlineStr">
        <is>
          <t>each</t>
        </is>
      </c>
      <c r="E77" s="16" t="n">
        <v>451.1</v>
      </c>
      <c r="F77" s="17" t="n">
        <v>0</v>
      </c>
      <c r="G77" s="18">
        <f>E77*F77</f>
        <v/>
      </c>
    </row>
    <row r="78" ht="26" customHeight="1">
      <c r="A78" s="13" t="inlineStr">
        <is>
          <t>W13172</t>
        </is>
      </c>
      <c r="B78" s="14" t="inlineStr">
        <is>
          <t>Relocate 6000 series RBS</t>
        </is>
      </c>
      <c r="C78" s="15" t="inlineStr"/>
      <c r="D78" s="15" t="inlineStr">
        <is>
          <t>each</t>
        </is>
      </c>
      <c r="E78" s="16" t="n">
        <v>1417</v>
      </c>
      <c r="F78" s="17" t="n">
        <v>0</v>
      </c>
      <c r="G78" s="18">
        <f>E78*F78</f>
        <v/>
      </c>
    </row>
    <row r="79" ht="26" customHeight="1">
      <c r="A79" s="13" t="inlineStr">
        <is>
          <t>W13173</t>
        </is>
      </c>
      <c r="B79" s="14" t="inlineStr">
        <is>
          <t>Relocate 3000 series RBS</t>
        </is>
      </c>
      <c r="C79" s="15" t="inlineStr"/>
      <c r="D79" s="15" t="inlineStr">
        <is>
          <t>each</t>
        </is>
      </c>
      <c r="E79" s="16" t="n">
        <v>2197</v>
      </c>
      <c r="F79" s="17" t="n">
        <v>0</v>
      </c>
      <c r="G79" s="18">
        <f>E79*F79</f>
        <v/>
      </c>
    </row>
    <row r="80" ht="26" customHeight="1">
      <c r="A80" s="13" t="inlineStr">
        <is>
          <t>W13179</t>
        </is>
      </c>
      <c r="B80" s="14" t="inlineStr">
        <is>
          <t>Battery Expansion Rack</t>
        </is>
      </c>
      <c r="C80" s="15" t="inlineStr"/>
      <c r="D80" s="15" t="inlineStr">
        <is>
          <t>each</t>
        </is>
      </c>
      <c r="E80" s="16" t="n">
        <v>635.7</v>
      </c>
      <c r="F80" s="17" t="n">
        <v>0</v>
      </c>
      <c r="G80" s="18">
        <f>E80*F80</f>
        <v/>
      </c>
    </row>
    <row r="81" ht="26" customHeight="1">
      <c r="A81" s="13" t="inlineStr">
        <is>
          <t>W13180</t>
        </is>
      </c>
      <c r="B81" s="14" t="inlineStr">
        <is>
          <t>Relocate an existing Power System within the existing Hut</t>
        </is>
      </c>
      <c r="C81" s="15" t="inlineStr"/>
      <c r="D81" s="15" t="inlineStr">
        <is>
          <t>each</t>
        </is>
      </c>
      <c r="E81" s="16" t="n">
        <v>2158</v>
      </c>
      <c r="F81" s="17" t="n">
        <v>0</v>
      </c>
      <c r="G81" s="18">
        <f>E81*F81</f>
        <v/>
      </c>
    </row>
    <row r="82" ht="40" customHeight="1">
      <c r="A82" s="13" t="inlineStr">
        <is>
          <t>W13312</t>
        </is>
      </c>
      <c r="B82" s="14" t="inlineStr">
        <is>
          <t>Installation of DWDM module in new/existing DWDM chassis (6 channel (3ch Bidirectional))</t>
        </is>
      </c>
      <c r="C82" s="15" t="inlineStr"/>
      <c r="D82" s="15" t="inlineStr">
        <is>
          <t>Per unit</t>
        </is>
      </c>
      <c r="E82" s="16" t="n">
        <v>240.5</v>
      </c>
      <c r="F82" s="17" t="n">
        <v>0</v>
      </c>
      <c r="G82" s="18">
        <f>E82*F82</f>
        <v/>
      </c>
    </row>
    <row r="83" ht="26" customHeight="1">
      <c r="A83" s="13" t="inlineStr">
        <is>
          <t>W13372</t>
        </is>
      </c>
      <c r="B83" s="14" t="inlineStr">
        <is>
          <t>DC Power - SP18 / SP22 / SP33 Power System</t>
        </is>
      </c>
      <c r="C83" s="15" t="inlineStr"/>
      <c r="D83" s="15" t="inlineStr">
        <is>
          <t>each</t>
        </is>
      </c>
      <c r="E83" s="16" t="n">
        <v>2405</v>
      </c>
      <c r="F83" s="17" t="n">
        <v>0</v>
      </c>
      <c r="G83" s="18">
        <f>E83*F83</f>
        <v/>
      </c>
    </row>
    <row r="84" ht="40" customHeight="1">
      <c r="A84" s="13" t="inlineStr">
        <is>
          <t>W13373</t>
        </is>
      </c>
      <c r="B84" s="14" t="inlineStr">
        <is>
          <t>Cut over existing DC power load from existing power cabinet and reconnect it to the new power rack</t>
        </is>
      </c>
      <c r="C84" s="15" t="inlineStr"/>
      <c r="D84" s="15" t="inlineStr">
        <is>
          <t>Per Unit</t>
        </is>
      </c>
      <c r="E84" s="16" t="n">
        <v>643.5</v>
      </c>
      <c r="F84" s="17" t="n">
        <v>0</v>
      </c>
      <c r="G84" s="18">
        <f>E84*F84</f>
        <v/>
      </c>
    </row>
    <row r="85" ht="54" customHeight="1">
      <c r="A85" s="13" t="inlineStr">
        <is>
          <t>W13374</t>
        </is>
      </c>
      <c r="B85" s="14" t="inlineStr">
        <is>
          <t>Testing of 4G/5G Installation using Blackbird App including all required Call / Data Tests (first carrier per sector only)</t>
        </is>
      </c>
      <c r="C85" s="15" t="inlineStr"/>
      <c r="D85" s="15" t="inlineStr">
        <is>
          <t>Per sector</t>
        </is>
      </c>
      <c r="E85" s="16" t="n">
        <v>110.5</v>
      </c>
      <c r="F85" s="17" t="n">
        <v>0</v>
      </c>
      <c r="G85" s="18">
        <f>E85*F85</f>
        <v/>
      </c>
    </row>
    <row r="86" ht="26" customHeight="1">
      <c r="A86" s="13" t="inlineStr">
        <is>
          <t>W13393</t>
        </is>
      </c>
      <c r="B86" s="14" t="inlineStr">
        <is>
          <t>Install a Site Router or ERAN switch (Eg: R6675, or similar)</t>
        </is>
      </c>
      <c r="C86" s="15" t="inlineStr"/>
      <c r="D86" s="15" t="inlineStr">
        <is>
          <t>Per unit</t>
        </is>
      </c>
      <c r="E86" s="16" t="n">
        <v>422.5</v>
      </c>
      <c r="F86" s="17" t="n">
        <v>0</v>
      </c>
      <c r="G86" s="18">
        <f>E86*F86</f>
        <v/>
      </c>
    </row>
    <row r="87" ht="40" customHeight="1">
      <c r="A87" s="13" t="inlineStr">
        <is>
          <t>W13399</t>
        </is>
      </c>
      <c r="B87" s="14" t="inlineStr">
        <is>
          <t>Call / Data Test for 3G installation (extra over first carrier per sector for each subsequent carrier per sector)</t>
        </is>
      </c>
      <c r="C87" s="15" t="inlineStr"/>
      <c r="D87" s="15" t="inlineStr">
        <is>
          <t>Per sector / carrier</t>
        </is>
      </c>
      <c r="E87" s="16" t="n">
        <v>84.5</v>
      </c>
      <c r="F87" s="17" t="n">
        <v>0</v>
      </c>
      <c r="G87" s="18">
        <f>E87*F87</f>
        <v/>
      </c>
    </row>
    <row r="88" ht="54" customHeight="1">
      <c r="A88" s="13" t="inlineStr">
        <is>
          <t>W13400</t>
        </is>
      </c>
      <c r="B88" s="14" t="inlineStr">
        <is>
          <t>Testing of 4G/5G Installation using Blackbird App including all required Call / Data Tests (extra over first carrier per sector for each subsequent carrier per sector)</t>
        </is>
      </c>
      <c r="C88" s="15" t="inlineStr"/>
      <c r="D88" s="15" t="inlineStr">
        <is>
          <t>Per sector / carrier</t>
        </is>
      </c>
      <c r="E88" s="16" t="n">
        <v>91</v>
      </c>
      <c r="F88" s="17" t="n">
        <v>0</v>
      </c>
      <c r="G88" s="18">
        <f>E88*F88</f>
        <v/>
      </c>
    </row>
    <row r="89" ht="26" customHeight="1">
      <c r="A89" s="13" t="inlineStr">
        <is>
          <t>W13655</t>
        </is>
      </c>
      <c r="B89" s="14" t="inlineStr">
        <is>
          <t>Install Fully Equipped Rack for 4x4 low band design</t>
        </is>
      </c>
      <c r="C89" s="15" t="inlineStr"/>
      <c r="D89" s="15" t="inlineStr">
        <is>
          <t>each</t>
        </is>
      </c>
      <c r="E89" s="16" t="n">
        <v>2197</v>
      </c>
      <c r="F89" s="17" t="n">
        <v>0</v>
      </c>
      <c r="G89" s="18">
        <f>E89*F89</f>
        <v/>
      </c>
    </row>
    <row r="90" ht="26" customHeight="1">
      <c r="A90" s="7" t="inlineStr">
        <is>
          <t>W13674</t>
        </is>
      </c>
      <c r="B90" s="8" t="inlineStr">
        <is>
          <t>Base Band Units (BB) 6630</t>
        </is>
      </c>
      <c r="C90" s="9" t="inlineStr">
        <is>
          <t>INSTALL</t>
        </is>
      </c>
      <c r="D90" s="9" t="inlineStr">
        <is>
          <t>Each</t>
        </is>
      </c>
      <c r="E90" s="10" t="n">
        <v>422.5</v>
      </c>
      <c r="F90" s="11" t="n">
        <v>1</v>
      </c>
      <c r="G90" s="12">
        <f>E90*F90</f>
        <v/>
      </c>
    </row>
    <row r="91" ht="40" customHeight="1">
      <c r="A91" s="13" t="inlineStr">
        <is>
          <t>W13698</t>
        </is>
      </c>
      <c r="B91" s="14" t="inlineStr">
        <is>
          <t>Installation of DWDM module in new/existing DWDM chassis (18 channel (9ch Bidirectional))</t>
        </is>
      </c>
      <c r="C91" s="15" t="inlineStr"/>
      <c r="D91" s="15" t="inlineStr">
        <is>
          <t>Per unit</t>
        </is>
      </c>
      <c r="E91" s="16" t="n">
        <v>468</v>
      </c>
      <c r="F91" s="17" t="n">
        <v>0</v>
      </c>
      <c r="G91" s="18">
        <f>E91*F91</f>
        <v/>
      </c>
    </row>
    <row r="92" ht="26" customHeight="1">
      <c r="A92" s="7" t="inlineStr">
        <is>
          <t>W13699</t>
        </is>
      </c>
      <c r="B92" s="8" t="inlineStr">
        <is>
          <t>Install ESC (Ericsson Site Controller)</t>
        </is>
      </c>
      <c r="C92" s="9" t="inlineStr">
        <is>
          <t>INSTALL, RELOCATE</t>
        </is>
      </c>
      <c r="D92" s="9" t="inlineStr">
        <is>
          <t>Per unit</t>
        </is>
      </c>
      <c r="E92" s="10" t="n">
        <v>871</v>
      </c>
      <c r="F92" s="11" t="n">
        <v>12</v>
      </c>
      <c r="G92" s="12">
        <f>E92*F92</f>
        <v/>
      </c>
    </row>
    <row r="93" ht="26" customHeight="1">
      <c r="A93" s="13" t="inlineStr">
        <is>
          <t>W13700</t>
        </is>
      </c>
      <c r="B93" s="14" t="inlineStr">
        <is>
          <t>Relocate Site Cell Router (e.g. SIU)</t>
        </is>
      </c>
      <c r="C93" s="15" t="inlineStr"/>
      <c r="D93" s="15" t="inlineStr">
        <is>
          <t>Per unit</t>
        </is>
      </c>
      <c r="E93" s="16" t="n">
        <v>188.5</v>
      </c>
      <c r="F93" s="17" t="n">
        <v>0</v>
      </c>
      <c r="G93" s="18">
        <f>E93*F93</f>
        <v/>
      </c>
    </row>
    <row r="94" ht="26" customHeight="1">
      <c r="A94" s="13" t="inlineStr">
        <is>
          <t>W13702</t>
        </is>
      </c>
      <c r="B94" s="14" t="inlineStr">
        <is>
          <t>External Surge Protection Device (SPD) Augmentation Box</t>
        </is>
      </c>
      <c r="C94" s="15" t="inlineStr"/>
      <c r="D94" s="15" t="inlineStr">
        <is>
          <t>Each</t>
        </is>
      </c>
      <c r="E94" s="16" t="n">
        <v>799.5</v>
      </c>
      <c r="F94" s="17" t="n">
        <v>0</v>
      </c>
      <c r="G94" s="18">
        <f>E94*F94</f>
        <v/>
      </c>
    </row>
    <row r="95" ht="26" customHeight="1">
      <c r="A95" s="13" t="inlineStr">
        <is>
          <t>W13703</t>
        </is>
      </c>
      <c r="B95" s="14" t="inlineStr">
        <is>
          <t>Internal Surge Protection Device (SPD) Augmentation Box</t>
        </is>
      </c>
      <c r="C95" s="15" t="inlineStr"/>
      <c r="D95" s="15" t="inlineStr">
        <is>
          <t>Each</t>
        </is>
      </c>
      <c r="E95" s="16" t="n">
        <v>721.5</v>
      </c>
      <c r="F95" s="17" t="n">
        <v>0</v>
      </c>
      <c r="G95" s="18">
        <f>E95*F95</f>
        <v/>
      </c>
    </row>
    <row r="96" ht="26" customHeight="1">
      <c r="A96" s="13" t="inlineStr">
        <is>
          <t>W13706</t>
        </is>
      </c>
      <c r="B96" s="14" t="inlineStr">
        <is>
          <t>Install NR850 Rack</t>
        </is>
      </c>
      <c r="C96" s="15" t="inlineStr"/>
      <c r="D96" s="15" t="inlineStr">
        <is>
          <t>Each</t>
        </is>
      </c>
      <c r="E96" s="16" t="n">
        <v>2548.65</v>
      </c>
      <c r="F96" s="17" t="n">
        <v>0</v>
      </c>
      <c r="G96" s="18">
        <f>E96*F96</f>
        <v/>
      </c>
    </row>
    <row r="97" ht="26" customHeight="1">
      <c r="A97" s="13" t="inlineStr">
        <is>
          <t>W13707</t>
        </is>
      </c>
      <c r="B97" s="14" t="inlineStr">
        <is>
          <t>Existing Base Band (or similar) - Script Reload</t>
        </is>
      </c>
      <c r="C97" s="15" t="inlineStr"/>
      <c r="D97" s="15" t="inlineStr">
        <is>
          <t>Each</t>
        </is>
      </c>
      <c r="E97" s="16" t="n">
        <v>175.5</v>
      </c>
      <c r="F97" s="17" t="n">
        <v>0</v>
      </c>
      <c r="G97" s="18">
        <f>E97*F97</f>
        <v/>
      </c>
    </row>
    <row r="98" ht="26" customHeight="1">
      <c r="A98" s="13" t="inlineStr">
        <is>
          <t>W13708</t>
        </is>
      </c>
      <c r="B98" s="14" t="inlineStr">
        <is>
          <t>ESC Data reconfiguration</t>
        </is>
      </c>
      <c r="C98" s="15" t="inlineStr"/>
      <c r="D98" s="15" t="inlineStr">
        <is>
          <t>Per Site</t>
        </is>
      </c>
      <c r="E98" s="16" t="n">
        <v>507</v>
      </c>
      <c r="F98" s="17" t="n">
        <v>0</v>
      </c>
      <c r="G98" s="18">
        <f>E98*F98</f>
        <v/>
      </c>
    </row>
    <row r="99" ht="26" customHeight="1">
      <c r="A99" s="13" t="inlineStr">
        <is>
          <t>W13709</t>
        </is>
      </c>
      <c r="B99" s="14" t="inlineStr">
        <is>
          <t>Install Enatel 4kW DC/DC converter</t>
        </is>
      </c>
      <c r="C99" s="15" t="inlineStr"/>
      <c r="D99" s="15" t="inlineStr">
        <is>
          <t>each</t>
        </is>
      </c>
      <c r="E99" s="16" t="n">
        <v>1073.8</v>
      </c>
      <c r="F99" s="17" t="n">
        <v>0</v>
      </c>
      <c r="G99" s="18">
        <f>E99*F99</f>
        <v/>
      </c>
    </row>
    <row r="100" ht="26" customHeight="1">
      <c r="A100" s="13" t="inlineStr">
        <is>
          <t>W13980</t>
        </is>
      </c>
      <c r="B100" s="14" t="inlineStr">
        <is>
          <t>Install Low Band Radio 44XX Rack Fitout</t>
        </is>
      </c>
      <c r="C100" s="15" t="inlineStr"/>
      <c r="D100" s="15" t="inlineStr">
        <is>
          <t>each</t>
        </is>
      </c>
      <c r="E100" s="16" t="n">
        <v>1950</v>
      </c>
      <c r="F100" s="17" t="n">
        <v>0</v>
      </c>
      <c r="G100" s="18">
        <f>E100*F100</f>
        <v/>
      </c>
    </row>
    <row r="101" ht="26" customHeight="1">
      <c r="A101" s="13" t="inlineStr">
        <is>
          <t>W7527</t>
        </is>
      </c>
      <c r="B101" s="14" t="inlineStr">
        <is>
          <t>DC Power - 48V Power System (Flatpack 2 or equivalent)</t>
        </is>
      </c>
      <c r="C101" s="15" t="inlineStr"/>
      <c r="D101" s="15" t="inlineStr">
        <is>
          <t>each</t>
        </is>
      </c>
      <c r="E101" s="16" t="n">
        <v>1625</v>
      </c>
      <c r="F101" s="17" t="n">
        <v>0</v>
      </c>
      <c r="G101" s="18">
        <f>E101*F101</f>
        <v/>
      </c>
    </row>
    <row r="102" ht="40" customHeight="1">
      <c r="A102" s="13" t="inlineStr">
        <is>
          <t>W7528</t>
        </is>
      </c>
      <c r="B102" s="14" t="inlineStr">
        <is>
          <t>DC Power - Battery String into existing rectifier / battery cabinet</t>
        </is>
      </c>
      <c r="C102" s="15" t="inlineStr"/>
      <c r="D102" s="15" t="inlineStr">
        <is>
          <t>each</t>
        </is>
      </c>
      <c r="E102" s="16" t="n">
        <v>216.45</v>
      </c>
      <c r="F102" s="17" t="n">
        <v>0</v>
      </c>
      <c r="G102" s="18">
        <f>E102*F102</f>
        <v/>
      </c>
    </row>
    <row r="103" ht="40" customHeight="1">
      <c r="A103" s="13" t="inlineStr">
        <is>
          <t>W7529</t>
        </is>
      </c>
      <c r="B103" s="14" t="inlineStr">
        <is>
          <t>DC Power - Additional Rectifier Module into existing power system</t>
        </is>
      </c>
      <c r="C103" s="15" t="inlineStr"/>
      <c r="D103" s="15" t="inlineStr">
        <is>
          <t>each</t>
        </is>
      </c>
      <c r="E103" s="16" t="n">
        <v>68.25</v>
      </c>
      <c r="F103" s="17" t="n">
        <v>0</v>
      </c>
      <c r="G103" s="18">
        <f>E103*F103</f>
        <v/>
      </c>
    </row>
    <row r="104" ht="24" customHeight="1">
      <c r="A104" s="5" t="inlineStr">
        <is>
          <t>FEEDERS AND HYBRIDS - ROOFTOP (EX PLANT, INC TESTING, FIM)</t>
        </is>
      </c>
      <c r="B104" s="6" t="n"/>
      <c r="C104" s="6" t="n"/>
      <c r="D104" s="6" t="n"/>
      <c r="E104" s="6" t="n"/>
      <c r="F104" s="6" t="n"/>
      <c r="G104" s="6" t="n"/>
    </row>
    <row r="105" ht="26" customHeight="1">
      <c r="A105" s="13" t="inlineStr"/>
      <c r="B105" s="14" t="inlineStr"/>
      <c r="C105" s="15" t="inlineStr"/>
      <c r="D105" s="15" t="inlineStr"/>
      <c r="E105" s="16" t="n">
        <v>0</v>
      </c>
      <c r="F105" s="17" t="n">
        <v>0</v>
      </c>
      <c r="G105" s="18">
        <f>E105*F105</f>
        <v/>
      </c>
    </row>
    <row r="106" ht="26" customHeight="1">
      <c r="A106" s="13" t="inlineStr"/>
      <c r="B106" s="14" t="inlineStr">
        <is>
          <t>Testing and reporting on legacy hybrid feeders</t>
        </is>
      </c>
      <c r="C106" s="15" t="inlineStr"/>
      <c r="D106" s="15" t="inlineStr">
        <is>
          <t>each</t>
        </is>
      </c>
      <c r="E106" s="16" t="n">
        <v>117</v>
      </c>
      <c r="F106" s="17" t="n">
        <v>0</v>
      </c>
      <c r="G106" s="18">
        <f>E106*F106</f>
        <v/>
      </c>
    </row>
    <row r="107" ht="40" customHeight="1">
      <c r="A107" s="13" t="inlineStr">
        <is>
          <t>R13370</t>
        </is>
      </c>
      <c r="B107" s="14" t="inlineStr">
        <is>
          <t>Recover Feeder or hybrid on a building / per lm rooftop / or similar during new installation</t>
        </is>
      </c>
      <c r="C107" s="15" t="inlineStr"/>
      <c r="D107" s="15" t="inlineStr"/>
      <c r="E107" s="16" t="n">
        <v>9</v>
      </c>
      <c r="F107" s="17" t="n">
        <v>0</v>
      </c>
      <c r="G107" s="18">
        <f>E107*F107</f>
        <v/>
      </c>
    </row>
    <row r="108" ht="26" customHeight="1">
      <c r="A108" s="13" t="inlineStr">
        <is>
          <t>W12291</t>
        </is>
      </c>
      <c r="B108" s="14" t="inlineStr">
        <is>
          <t>RET Cable (AISG) x 1</t>
        </is>
      </c>
      <c r="C108" s="15" t="inlineStr"/>
      <c r="D108" s="15" t="inlineStr">
        <is>
          <t>each</t>
        </is>
      </c>
      <c r="E108" s="16" t="n">
        <v>168.48</v>
      </c>
      <c r="F108" s="17" t="n">
        <v>0</v>
      </c>
      <c r="G108" s="18">
        <f>E108*F108</f>
        <v/>
      </c>
    </row>
    <row r="109" ht="26" customHeight="1">
      <c r="A109" s="13" t="inlineStr">
        <is>
          <t>W12807</t>
        </is>
      </c>
      <c r="B109" s="14" t="inlineStr">
        <is>
          <t>Feeder - ½” x 2  building / rooftop</t>
        </is>
      </c>
      <c r="C109" s="15" t="inlineStr"/>
      <c r="D109" s="15" t="inlineStr"/>
      <c r="E109" s="16" t="n">
        <v>50.18000000000001</v>
      </c>
      <c r="F109" s="17" t="n">
        <v>0</v>
      </c>
      <c r="G109" s="18">
        <f>E109*F109</f>
        <v/>
      </c>
    </row>
    <row r="110" ht="40" customHeight="1">
      <c r="A110" s="13" t="inlineStr">
        <is>
          <t>W12808</t>
        </is>
      </c>
      <c r="B110" s="14" t="inlineStr">
        <is>
          <t>Feeder – 1 x ⅞” Feeder cable On building / rooftop / or similar per lm</t>
        </is>
      </c>
      <c r="C110" s="15" t="inlineStr"/>
      <c r="D110" s="15" t="inlineStr"/>
      <c r="E110" s="16" t="n">
        <v>85</v>
      </c>
      <c r="F110" s="17" t="n">
        <v>0</v>
      </c>
      <c r="G110" s="18">
        <f>E110*F110</f>
        <v/>
      </c>
    </row>
    <row r="111" ht="26" customHeight="1">
      <c r="A111" s="13" t="inlineStr">
        <is>
          <t>W12809</t>
        </is>
      </c>
      <c r="B111" s="14" t="inlineStr">
        <is>
          <t>Feeder - ⅞” x 2 building / rooftop</t>
        </is>
      </c>
      <c r="C111" s="15" t="inlineStr"/>
      <c r="D111" s="15" t="inlineStr"/>
      <c r="E111" s="16" t="n">
        <v>45.5</v>
      </c>
      <c r="F111" s="17" t="n">
        <v>0</v>
      </c>
      <c r="G111" s="18">
        <f>E111*F111</f>
        <v/>
      </c>
    </row>
    <row r="112" ht="26" customHeight="1">
      <c r="A112" s="13" t="inlineStr">
        <is>
          <t>W12811</t>
        </is>
      </c>
      <c r="B112" s="14" t="inlineStr">
        <is>
          <t>Feeder - 1¼” x 2 building / rooftop</t>
        </is>
      </c>
      <c r="C112" s="15" t="inlineStr"/>
      <c r="D112" s="15" t="inlineStr"/>
      <c r="E112" s="16" t="n">
        <v>87.10000000000001</v>
      </c>
      <c r="F112" s="17" t="n">
        <v>0</v>
      </c>
      <c r="G112" s="18">
        <f>E112*F112</f>
        <v/>
      </c>
    </row>
    <row r="113" ht="26" customHeight="1">
      <c r="A113" s="13" t="inlineStr">
        <is>
          <t>W12813</t>
        </is>
      </c>
      <c r="B113" s="14" t="inlineStr">
        <is>
          <t>Feeder - 1⅝” x 2  building / rooftop</t>
        </is>
      </c>
      <c r="C113" s="15" t="inlineStr"/>
      <c r="D113" s="15" t="inlineStr"/>
      <c r="E113" s="16" t="n">
        <v>97.5</v>
      </c>
      <c r="F113" s="17" t="n">
        <v>0</v>
      </c>
      <c r="G113" s="18">
        <f>E113*F113</f>
        <v/>
      </c>
    </row>
    <row r="114" ht="40" customHeight="1">
      <c r="A114" s="13" t="inlineStr">
        <is>
          <t>W13159</t>
        </is>
      </c>
      <c r="B114" s="14" t="inlineStr">
        <is>
          <t>Re-Connect existing RF Tail onto New Antenna during Antenna Swap out</t>
        </is>
      </c>
      <c r="C114" s="15" t="inlineStr"/>
      <c r="D114" s="15" t="inlineStr">
        <is>
          <t>each</t>
        </is>
      </c>
      <c r="E114" s="16" t="n">
        <v>71.76000000000001</v>
      </c>
      <c r="F114" s="17" t="n">
        <v>0</v>
      </c>
      <c r="G114" s="18">
        <f>E114*F114</f>
        <v/>
      </c>
    </row>
    <row r="115" ht="26" customHeight="1">
      <c r="A115" s="7" t="inlineStr">
        <is>
          <t>W13364</t>
        </is>
      </c>
      <c r="B115" s="8" t="inlineStr">
        <is>
          <t>Custom made tail fabrication over 5m &amp; testing</t>
        </is>
      </c>
      <c r="C115" s="9" t="inlineStr">
        <is>
          <t>INSTALL</t>
        </is>
      </c>
      <c r="D115" s="9" t="inlineStr">
        <is>
          <t>each</t>
        </is>
      </c>
      <c r="E115" s="10" t="n">
        <v>292.89</v>
      </c>
      <c r="F115" s="11" t="n">
        <v>1</v>
      </c>
      <c r="G115" s="12">
        <f>E115*F115</f>
        <v/>
      </c>
    </row>
    <row r="116" ht="26" customHeight="1">
      <c r="A116" s="13" t="inlineStr">
        <is>
          <t>W13367</t>
        </is>
      </c>
      <c r="B116" s="14" t="inlineStr">
        <is>
          <t>Hybriflex x 1 - rooftop per lineal metre</t>
        </is>
      </c>
      <c r="C116" s="15" t="inlineStr"/>
      <c r="D116" s="15" t="inlineStr"/>
      <c r="E116" s="16" t="n">
        <v>55.38</v>
      </c>
      <c r="F116" s="17" t="n">
        <v>0</v>
      </c>
      <c r="G116" s="18">
        <f>E116*F116</f>
        <v/>
      </c>
    </row>
    <row r="117" ht="26" customHeight="1">
      <c r="A117" s="13" t="inlineStr">
        <is>
          <t>W13368</t>
        </is>
      </c>
      <c r="B117" s="14" t="inlineStr">
        <is>
          <t>Hybriflex x 2 - rooftop per lineal metre</t>
        </is>
      </c>
      <c r="C117" s="15" t="inlineStr"/>
      <c r="D117" s="15" t="inlineStr"/>
      <c r="E117" s="16" t="n">
        <v>97.5</v>
      </c>
      <c r="F117" s="17" t="n">
        <v>0</v>
      </c>
      <c r="G117" s="18">
        <f>E117*F117</f>
        <v/>
      </c>
    </row>
    <row r="118" ht="26" customHeight="1">
      <c r="A118" s="13" t="inlineStr">
        <is>
          <t>W13369</t>
        </is>
      </c>
      <c r="B118" s="14" t="inlineStr">
        <is>
          <t>Hybriflex x 3 - Rooftop per lineal metre</t>
        </is>
      </c>
      <c r="C118" s="15" t="inlineStr"/>
      <c r="D118" s="15" t="inlineStr"/>
      <c r="E118" s="16" t="n">
        <v>101.855</v>
      </c>
      <c r="F118" s="17" t="n">
        <v>0</v>
      </c>
      <c r="G118" s="18">
        <f>E118*F118</f>
        <v/>
      </c>
    </row>
    <row r="119" ht="40" customHeight="1">
      <c r="A119" s="7" t="inlineStr">
        <is>
          <t>W13371</t>
        </is>
      </c>
      <c r="B119" s="8" t="inlineStr">
        <is>
          <t>Hybrid Cable termination (On building / rooftop / or similar)</t>
        </is>
      </c>
      <c r="C119" s="9" t="inlineStr">
        <is>
          <t>INSTALL</t>
        </is>
      </c>
      <c r="D119" s="9" t="inlineStr">
        <is>
          <t>each</t>
        </is>
      </c>
      <c r="E119" s="10" t="n">
        <v>185.25</v>
      </c>
      <c r="F119" s="11" t="n">
        <v>1</v>
      </c>
      <c r="G119" s="12">
        <f>E119*F119</f>
        <v/>
      </c>
    </row>
    <row r="120" ht="40" customHeight="1">
      <c r="A120" s="13" t="inlineStr">
        <is>
          <t>W13375</t>
        </is>
      </c>
      <c r="B120" s="14" t="inlineStr">
        <is>
          <t>PIM/Sweep testing to reused existing spare feeder (per feeder)</t>
        </is>
      </c>
      <c r="C120" s="15" t="inlineStr"/>
      <c r="D120" s="15" t="inlineStr">
        <is>
          <t>each</t>
        </is>
      </c>
      <c r="E120" s="16" t="n">
        <v>97.5</v>
      </c>
      <c r="F120" s="17" t="n">
        <v>0</v>
      </c>
      <c r="G120" s="18">
        <f>E120*F120</f>
        <v/>
      </c>
    </row>
    <row r="121" ht="24" customHeight="1">
      <c r="A121" s="5" t="inlineStr">
        <is>
          <t>FEEDERS AND HYBRIDS - STRUCTURE (EX PLANT, INC TESTING, FIM)</t>
        </is>
      </c>
      <c r="B121" s="6" t="n"/>
      <c r="C121" s="6" t="n"/>
      <c r="D121" s="6" t="n"/>
      <c r="E121" s="6" t="n"/>
      <c r="F121" s="6" t="n"/>
      <c r="G121" s="6" t="n"/>
    </row>
    <row r="122" ht="26" customHeight="1">
      <c r="A122" s="13" t="inlineStr"/>
      <c r="B122" s="14" t="inlineStr"/>
      <c r="C122" s="15" t="inlineStr"/>
      <c r="D122" s="15" t="inlineStr"/>
      <c r="E122" s="16" t="n">
        <v>0</v>
      </c>
      <c r="F122" s="17" t="n">
        <v>0</v>
      </c>
      <c r="G122" s="18">
        <f>E122*F122</f>
        <v/>
      </c>
    </row>
    <row r="123" ht="26" customHeight="1">
      <c r="A123" s="13" t="inlineStr">
        <is>
          <t>R12838</t>
        </is>
      </c>
      <c r="B123" s="14" t="inlineStr">
        <is>
          <t>Recover existing Hydridflex or feeder</t>
        </is>
      </c>
      <c r="C123" s="15" t="inlineStr"/>
      <c r="D123" s="15" t="inlineStr"/>
      <c r="E123" s="16" t="n">
        <v>9.945</v>
      </c>
      <c r="F123" s="17" t="n">
        <v>0</v>
      </c>
      <c r="G123" s="18">
        <f>E123*F123</f>
        <v/>
      </c>
    </row>
    <row r="124" ht="26" customHeight="1">
      <c r="A124" s="13" t="inlineStr">
        <is>
          <t>W12816</t>
        </is>
      </c>
      <c r="B124" s="14" t="inlineStr">
        <is>
          <t>Feeder - 15m  Structure - ½” Feeder Cable x 6 (three pair)</t>
        </is>
      </c>
      <c r="C124" s="15" t="inlineStr"/>
      <c r="D124" s="15" t="inlineStr"/>
      <c r="E124" s="16" t="n">
        <v>3503.5</v>
      </c>
      <c r="F124" s="17" t="n">
        <v>0</v>
      </c>
      <c r="G124" s="18">
        <f>E124*F124</f>
        <v/>
      </c>
    </row>
    <row r="125" ht="26" customHeight="1">
      <c r="A125" s="13" t="inlineStr">
        <is>
          <t>W12816</t>
        </is>
      </c>
      <c r="B125" s="14" t="inlineStr">
        <is>
          <t>Feeder - 20m  Structure - ½” Feeder Cable x 6 (three pair)</t>
        </is>
      </c>
      <c r="C125" s="15" t="inlineStr"/>
      <c r="D125" s="15" t="inlineStr"/>
      <c r="E125" s="16" t="n">
        <v>3021.2</v>
      </c>
      <c r="F125" s="17" t="n">
        <v>0</v>
      </c>
      <c r="G125" s="18">
        <f>E125*F125</f>
        <v/>
      </c>
    </row>
    <row r="126" ht="26" customHeight="1">
      <c r="A126" s="13" t="inlineStr">
        <is>
          <t>W12816</t>
        </is>
      </c>
      <c r="B126" s="14" t="inlineStr">
        <is>
          <t>Feeder - 25m  Structure - ½” Feeder Cable x 6 (three pair)</t>
        </is>
      </c>
      <c r="C126" s="15" t="inlineStr"/>
      <c r="D126" s="15" t="inlineStr"/>
      <c r="E126" s="16" t="n">
        <v>3294.2</v>
      </c>
      <c r="F126" s="17" t="n">
        <v>0</v>
      </c>
      <c r="G126" s="18">
        <f>E126*F126</f>
        <v/>
      </c>
    </row>
    <row r="127" ht="26" customHeight="1">
      <c r="A127" s="13" t="inlineStr">
        <is>
          <t>W12818</t>
        </is>
      </c>
      <c r="B127" s="14" t="inlineStr">
        <is>
          <t>Feeder - 15m  Structure - ⅞ “ Feeder Cable x 2 (one pair)</t>
        </is>
      </c>
      <c r="C127" s="15" t="inlineStr"/>
      <c r="D127" s="15" t="inlineStr"/>
      <c r="E127" s="16" t="n">
        <v>2119</v>
      </c>
      <c r="F127" s="17" t="n">
        <v>0</v>
      </c>
      <c r="G127" s="18">
        <f>E127*F127</f>
        <v/>
      </c>
    </row>
    <row r="128" ht="26" customHeight="1">
      <c r="A128" s="13" t="inlineStr">
        <is>
          <t>W12818</t>
        </is>
      </c>
      <c r="B128" s="14" t="inlineStr">
        <is>
          <t>Feeder - 20m  Structure - ⅞ “ Feeder Cable x 2 (one pair)</t>
        </is>
      </c>
      <c r="C128" s="15" t="inlineStr"/>
      <c r="D128" s="15" t="inlineStr"/>
      <c r="E128" s="16" t="n">
        <v>1729</v>
      </c>
      <c r="F128" s="17" t="n">
        <v>0</v>
      </c>
      <c r="G128" s="18">
        <f>E128*F128</f>
        <v/>
      </c>
    </row>
    <row r="129" ht="26" customHeight="1">
      <c r="A129" s="13" t="inlineStr">
        <is>
          <t>W12818</t>
        </is>
      </c>
      <c r="B129" s="14" t="inlineStr">
        <is>
          <t>Feeder - 25m  Structure - ⅞ “ Feeder Cable x 2 (one pair)</t>
        </is>
      </c>
      <c r="C129" s="15" t="inlineStr"/>
      <c r="D129" s="15" t="inlineStr"/>
      <c r="E129" s="16" t="n">
        <v>1593.8</v>
      </c>
      <c r="F129" s="17" t="n">
        <v>0</v>
      </c>
      <c r="G129" s="18">
        <f>E129*F129</f>
        <v/>
      </c>
    </row>
    <row r="130" ht="26" customHeight="1">
      <c r="A130" s="13" t="inlineStr">
        <is>
          <t>W12818</t>
        </is>
      </c>
      <c r="B130" s="14" t="inlineStr">
        <is>
          <t>Feeder - 30m  Structure - ⅞ “ Feeder Cable x 2 (one pair)</t>
        </is>
      </c>
      <c r="C130" s="15" t="inlineStr"/>
      <c r="D130" s="15" t="inlineStr"/>
      <c r="E130" s="16" t="n">
        <v>1592.5</v>
      </c>
      <c r="F130" s="17" t="n">
        <v>0</v>
      </c>
      <c r="G130" s="18">
        <f>E130*F130</f>
        <v/>
      </c>
    </row>
    <row r="131" ht="26" customHeight="1">
      <c r="A131" s="13" t="inlineStr">
        <is>
          <t>W12818</t>
        </is>
      </c>
      <c r="B131" s="14" t="inlineStr">
        <is>
          <t>Feeder - 35m  Structure - ⅞ “ Feeder Cable x 2 (one pair)</t>
        </is>
      </c>
      <c r="C131" s="15" t="inlineStr"/>
      <c r="D131" s="15" t="inlineStr"/>
      <c r="E131" s="16" t="n">
        <v>1820</v>
      </c>
      <c r="F131" s="17" t="n">
        <v>0</v>
      </c>
      <c r="G131" s="18">
        <f>E131*F131</f>
        <v/>
      </c>
    </row>
    <row r="132" ht="26" customHeight="1">
      <c r="A132" s="13" t="inlineStr">
        <is>
          <t>W12818</t>
        </is>
      </c>
      <c r="B132" s="14" t="inlineStr">
        <is>
          <t>Feeder - 40m  Structure - ⅞ “ Feeder Cable x 2 (one pair)</t>
        </is>
      </c>
      <c r="C132" s="15" t="inlineStr"/>
      <c r="D132" s="15" t="inlineStr"/>
      <c r="E132" s="16" t="n">
        <v>2184</v>
      </c>
      <c r="F132" s="17" t="n">
        <v>0</v>
      </c>
      <c r="G132" s="18">
        <f>E132*F132</f>
        <v/>
      </c>
    </row>
    <row r="133" ht="26" customHeight="1">
      <c r="A133" s="13" t="inlineStr">
        <is>
          <t>W12818</t>
        </is>
      </c>
      <c r="B133" s="14" t="inlineStr">
        <is>
          <t>Feeder - 50m  Structure - ⅞” Feeder Cable x 2 (one pair)</t>
        </is>
      </c>
      <c r="C133" s="15" t="inlineStr"/>
      <c r="D133" s="15" t="inlineStr"/>
      <c r="E133" s="16" t="n">
        <v>2548</v>
      </c>
      <c r="F133" s="17" t="n">
        <v>0</v>
      </c>
      <c r="G133" s="18">
        <f>E133*F133</f>
        <v/>
      </c>
    </row>
    <row r="134" ht="26" customHeight="1">
      <c r="A134" s="13" t="inlineStr">
        <is>
          <t>W12818</t>
        </is>
      </c>
      <c r="B134" s="14" t="inlineStr">
        <is>
          <t>Feeder - 60m  Structure - ⅞” Feeder Cable x 2 (one pair)</t>
        </is>
      </c>
      <c r="C134" s="15" t="inlineStr"/>
      <c r="D134" s="15" t="inlineStr"/>
      <c r="E134" s="16" t="n">
        <v>4160</v>
      </c>
      <c r="F134" s="17" t="n">
        <v>0</v>
      </c>
      <c r="G134" s="18">
        <f>E134*F134</f>
        <v/>
      </c>
    </row>
    <row r="135" ht="26" customHeight="1">
      <c r="A135" s="13" t="inlineStr">
        <is>
          <t>W12819</t>
        </is>
      </c>
      <c r="B135" s="14" t="inlineStr">
        <is>
          <t>Feeder - 15m  Structure - ⅞ “ Feeder Cable x 6 (three pair)</t>
        </is>
      </c>
      <c r="C135" s="15" t="inlineStr"/>
      <c r="D135" s="15" t="inlineStr"/>
      <c r="E135" s="16" t="n">
        <v>5414.5</v>
      </c>
      <c r="F135" s="17" t="n">
        <v>0</v>
      </c>
      <c r="G135" s="18">
        <f>E135*F135</f>
        <v/>
      </c>
    </row>
    <row r="136" ht="26" customHeight="1">
      <c r="A136" s="13" t="inlineStr">
        <is>
          <t>W12819</t>
        </is>
      </c>
      <c r="B136" s="14" t="inlineStr">
        <is>
          <t>Feeder - 20m  Structure - ⅞ “ Feeder Cable x 6 (three pair)</t>
        </is>
      </c>
      <c r="C136" s="15" t="inlineStr"/>
      <c r="D136" s="15" t="inlineStr"/>
      <c r="E136" s="16" t="n">
        <v>3412.5</v>
      </c>
      <c r="F136" s="17" t="n">
        <v>0</v>
      </c>
      <c r="G136" s="18">
        <f>E136*F136</f>
        <v/>
      </c>
    </row>
    <row r="137" ht="26" customHeight="1">
      <c r="A137" s="13" t="inlineStr">
        <is>
          <t>W12819</t>
        </is>
      </c>
      <c r="B137" s="14" t="inlineStr">
        <is>
          <t>Feeder - 25m  Structure - ⅞ “ Feeder Cable x 6 (three pair)</t>
        </is>
      </c>
      <c r="C137" s="15" t="inlineStr"/>
      <c r="D137" s="15" t="inlineStr"/>
      <c r="E137" s="16" t="n">
        <v>3640</v>
      </c>
      <c r="F137" s="17" t="n">
        <v>0</v>
      </c>
      <c r="G137" s="18">
        <f>E137*F137</f>
        <v/>
      </c>
    </row>
    <row r="138" ht="26" customHeight="1">
      <c r="A138" s="13" t="inlineStr">
        <is>
          <t>W12819</t>
        </is>
      </c>
      <c r="B138" s="14" t="inlineStr">
        <is>
          <t>Feeder - 30m  Structure - ⅞ “ Feeder Cable x 6 (three pair)</t>
        </is>
      </c>
      <c r="C138" s="15" t="inlineStr"/>
      <c r="D138" s="15" t="inlineStr"/>
      <c r="E138" s="16" t="n">
        <v>3867.5</v>
      </c>
      <c r="F138" s="17" t="n">
        <v>0</v>
      </c>
      <c r="G138" s="18">
        <f>E138*F138</f>
        <v/>
      </c>
    </row>
    <row r="139" ht="26" customHeight="1">
      <c r="A139" s="13" t="inlineStr">
        <is>
          <t>W12819</t>
        </is>
      </c>
      <c r="B139" s="14" t="inlineStr">
        <is>
          <t>Feeder - 35m  Structure - ⅞ “ Feeder Cable x 6 (three pair)</t>
        </is>
      </c>
      <c r="C139" s="15" t="inlineStr"/>
      <c r="D139" s="15" t="inlineStr"/>
      <c r="E139" s="16" t="n">
        <v>4095</v>
      </c>
      <c r="F139" s="17" t="n">
        <v>0</v>
      </c>
      <c r="G139" s="18">
        <f>E139*F139</f>
        <v/>
      </c>
    </row>
    <row r="140" ht="26" customHeight="1">
      <c r="A140" s="13" t="inlineStr">
        <is>
          <t>W12819</t>
        </is>
      </c>
      <c r="B140" s="14" t="inlineStr">
        <is>
          <t>Feeder - 40m  Structure - ⅞ “ Feeder Cable x 6 (three pair)</t>
        </is>
      </c>
      <c r="C140" s="15" t="inlineStr"/>
      <c r="D140" s="15" t="inlineStr"/>
      <c r="E140" s="16" t="n">
        <v>4368</v>
      </c>
      <c r="F140" s="17" t="n">
        <v>0</v>
      </c>
      <c r="G140" s="18">
        <f>E140*F140</f>
        <v/>
      </c>
    </row>
    <row r="141" ht="26" customHeight="1">
      <c r="A141" s="13" t="inlineStr">
        <is>
          <t>W12819</t>
        </is>
      </c>
      <c r="B141" s="14" t="inlineStr">
        <is>
          <t>Feeder - 50m  Structure - ⅞” Feeder Cable x 6 (three pair)</t>
        </is>
      </c>
      <c r="C141" s="15" t="inlineStr"/>
      <c r="D141" s="15" t="inlineStr"/>
      <c r="E141" s="16" t="n">
        <v>5096</v>
      </c>
      <c r="F141" s="17" t="n">
        <v>0</v>
      </c>
      <c r="G141" s="18">
        <f>E141*F141</f>
        <v/>
      </c>
    </row>
    <row r="142" ht="26" customHeight="1">
      <c r="A142" s="13" t="inlineStr">
        <is>
          <t>W12819</t>
        </is>
      </c>
      <c r="B142" s="14" t="inlineStr">
        <is>
          <t>Feeder - 60m  Structure - ⅞” Feeder Cable x 6 (three pair)</t>
        </is>
      </c>
      <c r="C142" s="15" t="inlineStr"/>
      <c r="D142" s="15" t="inlineStr"/>
      <c r="E142" s="16" t="n">
        <v>8840</v>
      </c>
      <c r="F142" s="17" t="n">
        <v>0</v>
      </c>
      <c r="G142" s="18">
        <f>E142*F142</f>
        <v/>
      </c>
    </row>
    <row r="143" ht="26" customHeight="1">
      <c r="A143" s="13" t="inlineStr">
        <is>
          <t>W12821</t>
        </is>
      </c>
      <c r="B143" s="14" t="inlineStr">
        <is>
          <t>Feeder - 30m  Structure - 1¼” Feeder Cable x 2 (one pair)</t>
        </is>
      </c>
      <c r="C143" s="15" t="inlineStr"/>
      <c r="D143" s="15" t="inlineStr"/>
      <c r="E143" s="16" t="n">
        <v>1956.5</v>
      </c>
      <c r="F143" s="17" t="n">
        <v>0</v>
      </c>
      <c r="G143" s="18">
        <f>E143*F143</f>
        <v/>
      </c>
    </row>
    <row r="144" ht="26" customHeight="1">
      <c r="A144" s="13" t="inlineStr">
        <is>
          <t>W12821</t>
        </is>
      </c>
      <c r="B144" s="14" t="inlineStr">
        <is>
          <t>Feeder - 35m  Structure - 1¼” Feeder Cable x 2 (one pair)</t>
        </is>
      </c>
      <c r="C144" s="15" t="inlineStr"/>
      <c r="D144" s="15" t="inlineStr"/>
      <c r="E144" s="16" t="n">
        <v>2138.5</v>
      </c>
      <c r="F144" s="17" t="n">
        <v>0</v>
      </c>
      <c r="G144" s="18">
        <f>E144*F144</f>
        <v/>
      </c>
    </row>
    <row r="145" ht="26" customHeight="1">
      <c r="A145" s="13" t="inlineStr">
        <is>
          <t>W12821</t>
        </is>
      </c>
      <c r="B145" s="14" t="inlineStr">
        <is>
          <t>Feeder - 40m  Structure - 1¼” Feeder Cable x 2 (one pair)</t>
        </is>
      </c>
      <c r="C145" s="15" t="inlineStr"/>
      <c r="D145" s="15" t="inlineStr"/>
      <c r="E145" s="16" t="n">
        <v>2411.5</v>
      </c>
      <c r="F145" s="17" t="n">
        <v>0</v>
      </c>
      <c r="G145" s="18">
        <f>E145*F145</f>
        <v/>
      </c>
    </row>
    <row r="146" ht="26" customHeight="1">
      <c r="A146" s="13" t="inlineStr">
        <is>
          <t>W12821</t>
        </is>
      </c>
      <c r="B146" s="14" t="inlineStr">
        <is>
          <t>Feeder - 50m  Structure - 1¼” Feeder Cable x 2 (one pair)</t>
        </is>
      </c>
      <c r="C146" s="15" t="inlineStr"/>
      <c r="D146" s="15" t="inlineStr"/>
      <c r="E146" s="16" t="n">
        <v>2684.5</v>
      </c>
      <c r="F146" s="17" t="n">
        <v>0</v>
      </c>
      <c r="G146" s="18">
        <f>E146*F146</f>
        <v/>
      </c>
    </row>
    <row r="147" ht="26" customHeight="1">
      <c r="A147" s="13" t="inlineStr">
        <is>
          <t>W12821</t>
        </is>
      </c>
      <c r="B147" s="14" t="inlineStr">
        <is>
          <t>Feeder - 60m  Structure - 1¼” Feeder Cable x 2 (one pair)</t>
        </is>
      </c>
      <c r="C147" s="15" t="inlineStr"/>
      <c r="D147" s="15" t="inlineStr"/>
      <c r="E147" s="16" t="n">
        <v>4355</v>
      </c>
      <c r="F147" s="17" t="n">
        <v>0</v>
      </c>
      <c r="G147" s="18">
        <f>E147*F147</f>
        <v/>
      </c>
    </row>
    <row r="148" ht="26" customHeight="1">
      <c r="A148" s="13" t="inlineStr">
        <is>
          <t>W12821</t>
        </is>
      </c>
      <c r="B148" s="14" t="inlineStr">
        <is>
          <t>Feeder - 75m  Structure - 1¼” Feeder Cable x 2 (one pair)</t>
        </is>
      </c>
      <c r="C148" s="15" t="inlineStr"/>
      <c r="D148" s="15" t="inlineStr"/>
      <c r="E148" s="16" t="n">
        <v>9360</v>
      </c>
      <c r="F148" s="17" t="n">
        <v>0</v>
      </c>
      <c r="G148" s="18">
        <f>E148*F148</f>
        <v/>
      </c>
    </row>
    <row r="149" ht="26" customHeight="1">
      <c r="A149" s="13" t="inlineStr">
        <is>
          <t>W12821</t>
        </is>
      </c>
      <c r="B149" s="14" t="inlineStr">
        <is>
          <t>Feeder - 100m  Structure - 1¼” Feeder Cable x 2 (one pair)</t>
        </is>
      </c>
      <c r="C149" s="15" t="inlineStr"/>
      <c r="D149" s="15" t="inlineStr"/>
      <c r="E149" s="16" t="n">
        <v>11250.195762</v>
      </c>
      <c r="F149" s="17" t="n">
        <v>0</v>
      </c>
      <c r="G149" s="18">
        <f>E149*F149</f>
        <v/>
      </c>
    </row>
    <row r="150" ht="26" customHeight="1">
      <c r="A150" s="13" t="inlineStr">
        <is>
          <t>W12822</t>
        </is>
      </c>
      <c r="B150" s="14" t="inlineStr">
        <is>
          <t>Feeder - 30m  Structure - 1¼” Feeder Cable x 6 (three pair)</t>
        </is>
      </c>
      <c r="C150" s="15" t="inlineStr"/>
      <c r="D150" s="15" t="inlineStr"/>
      <c r="E150" s="16" t="n">
        <v>5050.5</v>
      </c>
      <c r="F150" s="17" t="n">
        <v>0</v>
      </c>
      <c r="G150" s="18">
        <f>E150*F150</f>
        <v/>
      </c>
    </row>
    <row r="151" ht="26" customHeight="1">
      <c r="A151" s="13" t="inlineStr">
        <is>
          <t>W12822</t>
        </is>
      </c>
      <c r="B151" s="14" t="inlineStr">
        <is>
          <t>Feeder - 35m  Structure - 1¼” Feeder Cable x 6 (three pair)</t>
        </is>
      </c>
      <c r="C151" s="15" t="inlineStr"/>
      <c r="D151" s="15" t="inlineStr"/>
      <c r="E151" s="16" t="n">
        <v>5414.5</v>
      </c>
      <c r="F151" s="17" t="n">
        <v>0</v>
      </c>
      <c r="G151" s="18">
        <f>E151*F151</f>
        <v/>
      </c>
    </row>
    <row r="152" ht="26" customHeight="1">
      <c r="A152" s="13" t="inlineStr">
        <is>
          <t>W12822</t>
        </is>
      </c>
      <c r="B152" s="14" t="inlineStr">
        <is>
          <t>Feeder - 40m  Structure - 1¼” Feeder Cable x 6 (three pair)</t>
        </is>
      </c>
      <c r="C152" s="15" t="inlineStr"/>
      <c r="D152" s="15" t="inlineStr"/>
      <c r="E152" s="16" t="n">
        <v>5778.5</v>
      </c>
      <c r="F152" s="17" t="n">
        <v>0</v>
      </c>
      <c r="G152" s="18">
        <f>E152*F152</f>
        <v/>
      </c>
    </row>
    <row r="153" ht="26" customHeight="1">
      <c r="A153" s="13" t="inlineStr">
        <is>
          <t>W12822</t>
        </is>
      </c>
      <c r="B153" s="14" t="inlineStr">
        <is>
          <t>Feeder - 50m  Structure - 1¼” Feeder Cable x 6 (three pair)</t>
        </is>
      </c>
      <c r="C153" s="15" t="inlineStr"/>
      <c r="D153" s="15" t="inlineStr"/>
      <c r="E153" s="16" t="n">
        <v>6324.5</v>
      </c>
      <c r="F153" s="17" t="n">
        <v>0</v>
      </c>
      <c r="G153" s="18">
        <f>E153*F153</f>
        <v/>
      </c>
    </row>
    <row r="154" ht="26" customHeight="1">
      <c r="A154" s="13" t="inlineStr">
        <is>
          <t>W12822</t>
        </is>
      </c>
      <c r="B154" s="14" t="inlineStr">
        <is>
          <t>Feeder - 60m  Structure - 1¼” Feeder Cable x 6 (three pair)</t>
        </is>
      </c>
      <c r="C154" s="15" t="inlineStr"/>
      <c r="D154" s="15" t="inlineStr"/>
      <c r="E154" s="16" t="n">
        <v>9828</v>
      </c>
      <c r="F154" s="17" t="n">
        <v>0</v>
      </c>
      <c r="G154" s="18">
        <f>E154*F154</f>
        <v/>
      </c>
    </row>
    <row r="155" ht="26" customHeight="1">
      <c r="A155" s="13" t="inlineStr">
        <is>
          <t>W12822</t>
        </is>
      </c>
      <c r="B155" s="14" t="inlineStr">
        <is>
          <t>Feeder - 75m  Structure - 1¼” Feeder Cable x 6 (three pair)</t>
        </is>
      </c>
      <c r="C155" s="15" t="inlineStr"/>
      <c r="D155" s="15" t="inlineStr"/>
      <c r="E155" s="16" t="n">
        <v>11440</v>
      </c>
      <c r="F155" s="17" t="n">
        <v>0</v>
      </c>
      <c r="G155" s="18">
        <f>E155*F155</f>
        <v/>
      </c>
    </row>
    <row r="156" ht="26" customHeight="1">
      <c r="A156" s="13" t="inlineStr">
        <is>
          <t>W12822</t>
        </is>
      </c>
      <c r="B156" s="14" t="inlineStr">
        <is>
          <t>Feeder - 100m  Structure - 1¼” Feeder Cable x 6 (three pair)</t>
        </is>
      </c>
      <c r="C156" s="15" t="inlineStr"/>
      <c r="D156" s="15" t="inlineStr"/>
      <c r="E156" s="16" t="n">
        <v>20280</v>
      </c>
      <c r="F156" s="17" t="n">
        <v>0</v>
      </c>
      <c r="G156" s="18">
        <f>E156*F156</f>
        <v/>
      </c>
    </row>
    <row r="157" ht="26" customHeight="1">
      <c r="A157" s="13" t="inlineStr">
        <is>
          <t>W12824</t>
        </is>
      </c>
      <c r="B157" s="14" t="inlineStr">
        <is>
          <t>Feeder - 30m  Structure - 1⅝” Feeder Cable x 2 (one pair)</t>
        </is>
      </c>
      <c r="C157" s="15" t="inlineStr"/>
      <c r="D157" s="15" t="inlineStr"/>
      <c r="E157" s="16" t="n">
        <v>2229.5</v>
      </c>
      <c r="F157" s="17" t="n">
        <v>0</v>
      </c>
      <c r="G157" s="18">
        <f>E157*F157</f>
        <v/>
      </c>
    </row>
    <row r="158" ht="26" customHeight="1">
      <c r="A158" s="13" t="inlineStr">
        <is>
          <t>W12824</t>
        </is>
      </c>
      <c r="B158" s="14" t="inlineStr">
        <is>
          <t>Feeder - 35m  Structure - 1⅝” Feeder Cable x 2 (one pair)</t>
        </is>
      </c>
      <c r="C158" s="15" t="inlineStr"/>
      <c r="D158" s="15" t="inlineStr"/>
      <c r="E158" s="16" t="n">
        <v>2684.5</v>
      </c>
      <c r="F158" s="17" t="n">
        <v>0</v>
      </c>
      <c r="G158" s="18">
        <f>E158*F158</f>
        <v/>
      </c>
    </row>
    <row r="159" ht="26" customHeight="1">
      <c r="A159" s="13" t="inlineStr">
        <is>
          <t>W12824</t>
        </is>
      </c>
      <c r="B159" s="14" t="inlineStr">
        <is>
          <t>Feeder - 40m  Structure - 1⅝” Feeder Cable x 2 (one pair)</t>
        </is>
      </c>
      <c r="C159" s="15" t="inlineStr"/>
      <c r="D159" s="15" t="inlineStr"/>
      <c r="E159" s="16" t="n">
        <v>2957.5</v>
      </c>
      <c r="F159" s="17" t="n">
        <v>0</v>
      </c>
      <c r="G159" s="18">
        <f>E159*F159</f>
        <v/>
      </c>
    </row>
    <row r="160" ht="26" customHeight="1">
      <c r="A160" s="13" t="inlineStr">
        <is>
          <t>W12824</t>
        </is>
      </c>
      <c r="B160" s="14" t="inlineStr">
        <is>
          <t>Feeder - 50m  Structure - 1⅝” Feeder Cable x 2 (one pair)</t>
        </is>
      </c>
      <c r="C160" s="15" t="inlineStr"/>
      <c r="D160" s="15" t="inlineStr"/>
      <c r="E160" s="16" t="n">
        <v>3321.5</v>
      </c>
      <c r="F160" s="17" t="n">
        <v>0</v>
      </c>
      <c r="G160" s="18">
        <f>E160*F160</f>
        <v/>
      </c>
    </row>
    <row r="161" ht="26" customHeight="1">
      <c r="A161" s="13" t="inlineStr">
        <is>
          <t>W12824</t>
        </is>
      </c>
      <c r="B161" s="14" t="inlineStr">
        <is>
          <t>Feeder - 60m  Structure - 1⅝” Feeder Cable x 2 (one pair)</t>
        </is>
      </c>
      <c r="C161" s="15" t="inlineStr"/>
      <c r="D161" s="15" t="inlineStr"/>
      <c r="E161" s="16" t="n">
        <v>5135</v>
      </c>
      <c r="F161" s="17" t="n">
        <v>0</v>
      </c>
      <c r="G161" s="18">
        <f>E161*F161</f>
        <v/>
      </c>
    </row>
    <row r="162" ht="26" customHeight="1">
      <c r="A162" s="13" t="inlineStr">
        <is>
          <t>W12824</t>
        </is>
      </c>
      <c r="B162" s="14" t="inlineStr">
        <is>
          <t>Feeder - 75m  Structure - 1⅝” Feeder Cable x 2 (one pair)</t>
        </is>
      </c>
      <c r="C162" s="15" t="inlineStr"/>
      <c r="D162" s="15" t="inlineStr"/>
      <c r="E162" s="16" t="n">
        <v>10205</v>
      </c>
      <c r="F162" s="17" t="n">
        <v>0</v>
      </c>
      <c r="G162" s="18">
        <f>E162*F162</f>
        <v/>
      </c>
    </row>
    <row r="163" ht="26" customHeight="1">
      <c r="A163" s="13" t="inlineStr">
        <is>
          <t>W12824</t>
        </is>
      </c>
      <c r="B163" s="14" t="inlineStr">
        <is>
          <t>Feeder - 100m  Structure - 1⅝” Feeder Cable x 2 (one pair)</t>
        </is>
      </c>
      <c r="C163" s="15" t="inlineStr"/>
      <c r="D163" s="15" t="inlineStr"/>
      <c r="E163" s="16" t="n">
        <v>11875.806716475</v>
      </c>
      <c r="F163" s="17" t="n">
        <v>0</v>
      </c>
      <c r="G163" s="18">
        <f>E163*F163</f>
        <v/>
      </c>
    </row>
    <row r="164" ht="26" customHeight="1">
      <c r="A164" s="13" t="inlineStr">
        <is>
          <t>W12825</t>
        </is>
      </c>
      <c r="B164" s="14" t="inlineStr">
        <is>
          <t>Feeder - 30m  Structure - 1⅝” Feeder Cable x 6 (three pair)</t>
        </is>
      </c>
      <c r="C164" s="15" t="inlineStr"/>
      <c r="D164" s="15" t="inlineStr"/>
      <c r="E164" s="16" t="n">
        <v>5414.5</v>
      </c>
      <c r="F164" s="17" t="n">
        <v>0</v>
      </c>
      <c r="G164" s="18">
        <f>E164*F164</f>
        <v/>
      </c>
    </row>
    <row r="165" ht="26" customHeight="1">
      <c r="A165" s="13" t="inlineStr">
        <is>
          <t>W12825</t>
        </is>
      </c>
      <c r="B165" s="14" t="inlineStr">
        <is>
          <t>Feeder - 35m  Structure - 1⅝” Feeder Cable x 6 (three pair)</t>
        </is>
      </c>
      <c r="C165" s="15" t="inlineStr"/>
      <c r="D165" s="15" t="inlineStr"/>
      <c r="E165" s="16" t="n">
        <v>5869.5</v>
      </c>
      <c r="F165" s="17" t="n">
        <v>0</v>
      </c>
      <c r="G165" s="18">
        <f>E165*F165</f>
        <v/>
      </c>
    </row>
    <row r="166" ht="26" customHeight="1">
      <c r="A166" s="13" t="inlineStr">
        <is>
          <t>W12825</t>
        </is>
      </c>
      <c r="B166" s="14" t="inlineStr">
        <is>
          <t>Feeder - 40m  Structure - 1⅝” Feeder Cable x 6 (three pair)</t>
        </is>
      </c>
      <c r="C166" s="15" t="inlineStr"/>
      <c r="D166" s="15" t="inlineStr"/>
      <c r="E166" s="16" t="n">
        <v>6552</v>
      </c>
      <c r="F166" s="17" t="n">
        <v>0</v>
      </c>
      <c r="G166" s="18">
        <f>E166*F166</f>
        <v/>
      </c>
    </row>
    <row r="167" ht="26" customHeight="1">
      <c r="A167" s="13" t="inlineStr">
        <is>
          <t>W12825</t>
        </is>
      </c>
      <c r="B167" s="14" t="inlineStr">
        <is>
          <t>Feeder - 50m  Structure - 1⅝” Feeder Cable x 6 (three pair)</t>
        </is>
      </c>
      <c r="C167" s="15" t="inlineStr"/>
      <c r="D167" s="15" t="inlineStr"/>
      <c r="E167" s="16" t="n">
        <v>7189</v>
      </c>
      <c r="F167" s="17" t="n">
        <v>0</v>
      </c>
      <c r="G167" s="18">
        <f>E167*F167</f>
        <v/>
      </c>
    </row>
    <row r="168" ht="26" customHeight="1">
      <c r="A168" s="13" t="inlineStr">
        <is>
          <t>W12825</t>
        </is>
      </c>
      <c r="B168" s="14" t="inlineStr">
        <is>
          <t>Feeder - 60m  Structure - 1⅝” Feeder Cable x 6 (three pair)</t>
        </is>
      </c>
      <c r="C168" s="15" t="inlineStr"/>
      <c r="D168" s="15" t="inlineStr"/>
      <c r="E168" s="16" t="n">
        <v>11245</v>
      </c>
      <c r="F168" s="17" t="n">
        <v>0</v>
      </c>
      <c r="G168" s="18">
        <f>E168*F168</f>
        <v/>
      </c>
    </row>
    <row r="169" ht="26" customHeight="1">
      <c r="A169" s="13" t="inlineStr">
        <is>
          <t>W12825</t>
        </is>
      </c>
      <c r="B169" s="14" t="inlineStr">
        <is>
          <t>Feeder - 75m  Structure - 1⅝” Feeder Cable x 6 (three pair)</t>
        </is>
      </c>
      <c r="C169" s="15" t="inlineStr"/>
      <c r="D169" s="15" t="inlineStr"/>
      <c r="E169" s="16" t="n">
        <v>16380</v>
      </c>
      <c r="F169" s="17" t="n">
        <v>0</v>
      </c>
      <c r="G169" s="18">
        <f>E169*F169</f>
        <v/>
      </c>
    </row>
    <row r="170" ht="26" customHeight="1">
      <c r="A170" s="13" t="inlineStr">
        <is>
          <t>W12825</t>
        </is>
      </c>
      <c r="B170" s="14" t="inlineStr">
        <is>
          <t>Feeder - 100m  Structure - 1⅝” Feeder Cable x 6 (three pair)</t>
        </is>
      </c>
      <c r="C170" s="15" t="inlineStr"/>
      <c r="D170" s="15" t="inlineStr"/>
      <c r="E170" s="16" t="n">
        <v>24570</v>
      </c>
      <c r="F170" s="17" t="n">
        <v>0</v>
      </c>
      <c r="G170" s="18">
        <f>E170*F170</f>
        <v/>
      </c>
    </row>
    <row r="171" ht="40" customHeight="1">
      <c r="A171" s="13" t="inlineStr">
        <is>
          <t>W12831</t>
        </is>
      </c>
      <c r="B171" s="14" t="inlineStr">
        <is>
          <t>1 X Hybrid Cable On A 15m- 75m Structure (Up To 90m Per Cable) - First</t>
        </is>
      </c>
      <c r="C171" s="15" t="inlineStr"/>
      <c r="D171" s="15" t="inlineStr"/>
      <c r="E171" s="16" t="n">
        <v>8024.733020275685</v>
      </c>
      <c r="F171" s="17" t="n">
        <v>0</v>
      </c>
      <c r="G171" s="18">
        <f>E171*F171</f>
        <v/>
      </c>
    </row>
    <row r="172" ht="54" customHeight="1">
      <c r="A172" s="13" t="inlineStr">
        <is>
          <t>W12834</t>
        </is>
      </c>
      <c r="B172" s="14" t="inlineStr">
        <is>
          <t>Additional Hybrid cable on a 15m- 75m Structure Extra Over W12831 for Each additional Hybrid cable x 1 (Up to 90m per cable)</t>
        </is>
      </c>
      <c r="C172" s="15" t="inlineStr"/>
      <c r="D172" s="15" t="inlineStr"/>
      <c r="E172" s="16" t="n">
        <v>3931.659381142847</v>
      </c>
      <c r="F172" s="17" t="n">
        <v>0</v>
      </c>
      <c r="G172" s="18">
        <f>E172*F172</f>
        <v/>
      </c>
    </row>
    <row r="173" ht="40" customHeight="1">
      <c r="A173" s="13" t="inlineStr">
        <is>
          <t>W12835</t>
        </is>
      </c>
      <c r="B173" s="14" t="inlineStr">
        <is>
          <t>Additional Hybrid Cable Per Meter - Extra Over W12831 And W12834 For Additional Increment Per Lineal Metre</t>
        </is>
      </c>
      <c r="C173" s="15" t="inlineStr"/>
      <c r="D173" s="15" t="inlineStr"/>
      <c r="E173" s="16" t="n">
        <v>163.9899765015812</v>
      </c>
      <c r="F173" s="17" t="n">
        <v>0</v>
      </c>
      <c r="G173" s="18">
        <f>E173*F173</f>
        <v/>
      </c>
    </row>
    <row r="174" ht="24" customHeight="1">
      <c r="A174" s="5" t="inlineStr">
        <is>
          <t>MISC</t>
        </is>
      </c>
      <c r="B174" s="6" t="n"/>
      <c r="C174" s="6" t="n"/>
      <c r="D174" s="6" t="n"/>
      <c r="E174" s="6" t="n"/>
      <c r="F174" s="6" t="n"/>
      <c r="G174" s="6" t="n"/>
    </row>
    <row r="175" ht="26" customHeight="1">
      <c r="A175" s="13" t="inlineStr"/>
      <c r="B175" s="14" t="inlineStr">
        <is>
          <t>Weekend uplift rate - Tech</t>
        </is>
      </c>
      <c r="C175" s="15" t="inlineStr"/>
      <c r="D175" s="15" t="inlineStr">
        <is>
          <t>per hr</t>
        </is>
      </c>
      <c r="E175" s="16" t="n">
        <v>55</v>
      </c>
      <c r="F175" s="17" t="n">
        <v>0</v>
      </c>
      <c r="G175" s="18">
        <f>E175*F175</f>
        <v/>
      </c>
    </row>
    <row r="176" ht="26" customHeight="1">
      <c r="A176" s="13" t="inlineStr"/>
      <c r="B176" s="14" t="inlineStr">
        <is>
          <t>Weekend uplift rate - Rigger</t>
        </is>
      </c>
      <c r="C176" s="15" t="inlineStr"/>
      <c r="D176" s="15" t="inlineStr">
        <is>
          <t>per hr</t>
        </is>
      </c>
      <c r="E176" s="16" t="n">
        <v>50</v>
      </c>
      <c r="F176" s="17" t="n">
        <v>0</v>
      </c>
      <c r="G176" s="18">
        <f>E176*F176</f>
        <v/>
      </c>
    </row>
    <row r="177" ht="26" customHeight="1">
      <c r="A177" s="13" t="inlineStr"/>
      <c r="B177" s="14" t="inlineStr">
        <is>
          <t>Site buildability survey and reporting</t>
        </is>
      </c>
      <c r="C177" s="15" t="inlineStr"/>
      <c r="D177" s="15" t="inlineStr">
        <is>
          <t>per site</t>
        </is>
      </c>
      <c r="E177" s="16" t="n">
        <v>1020</v>
      </c>
      <c r="F177" s="17" t="n">
        <v>0</v>
      </c>
      <c r="G177" s="18">
        <f>E177*F177</f>
        <v/>
      </c>
    </row>
    <row r="178" ht="26" customHeight="1">
      <c r="A178" s="7" t="inlineStr"/>
      <c r="B178" s="8" t="inlineStr">
        <is>
          <t>FIM and waste management</t>
        </is>
      </c>
      <c r="C178" s="9" t="inlineStr">
        <is>
          <t>INSTALL</t>
        </is>
      </c>
      <c r="D178" s="9" t="inlineStr">
        <is>
          <t>per site</t>
        </is>
      </c>
      <c r="E178" s="10" t="n">
        <v>860</v>
      </c>
      <c r="F178" s="11" t="n">
        <v>1</v>
      </c>
      <c r="G178" s="12">
        <f>E178*F178</f>
        <v/>
      </c>
    </row>
    <row r="179" ht="26" customHeight="1">
      <c r="A179" s="13" t="inlineStr"/>
      <c r="B179" s="14" t="inlineStr">
        <is>
          <t>Senior Technician (Normal working hoours)</t>
        </is>
      </c>
      <c r="C179" s="15" t="inlineStr"/>
      <c r="D179" s="15" t="inlineStr">
        <is>
          <t>per hour</t>
        </is>
      </c>
      <c r="E179" s="16" t="n">
        <v>95</v>
      </c>
      <c r="F179" s="17" t="n">
        <v>0</v>
      </c>
      <c r="G179" s="18">
        <f>E179*F179</f>
        <v/>
      </c>
    </row>
    <row r="180" ht="26" customHeight="1">
      <c r="A180" s="13" t="inlineStr"/>
      <c r="B180" s="14" t="inlineStr">
        <is>
          <t>Senior Technician (Out of Normal working hours)</t>
        </is>
      </c>
      <c r="C180" s="15" t="inlineStr"/>
      <c r="D180" s="15" t="inlineStr">
        <is>
          <t>per hour</t>
        </is>
      </c>
      <c r="E180" s="16" t="n">
        <v>145</v>
      </c>
      <c r="F180" s="17" t="n">
        <v>0</v>
      </c>
      <c r="G180" s="18">
        <f>E180*F180</f>
        <v/>
      </c>
    </row>
    <row r="181" ht="26" customHeight="1">
      <c r="A181" s="13" t="inlineStr"/>
      <c r="B181" s="14" t="inlineStr">
        <is>
          <t>Signage (supplied as FIM)</t>
        </is>
      </c>
      <c r="C181" s="15" t="inlineStr"/>
      <c r="D181" s="15" t="inlineStr">
        <is>
          <t>each</t>
        </is>
      </c>
      <c r="E181" s="16" t="n">
        <v>25</v>
      </c>
      <c r="F181" s="17" t="n">
        <v>0</v>
      </c>
      <c r="G181" s="18">
        <f>E181*F181</f>
        <v/>
      </c>
    </row>
    <row r="182" ht="26" customHeight="1">
      <c r="A182" s="13" t="inlineStr">
        <is>
          <t>LAB-30</t>
        </is>
      </c>
      <c r="B182" s="14" t="inlineStr">
        <is>
          <t>Team Leader (Normal Working Hours)</t>
        </is>
      </c>
      <c r="C182" s="15" t="inlineStr"/>
      <c r="D182" s="15" t="inlineStr">
        <is>
          <t>per hour</t>
        </is>
      </c>
      <c r="E182" s="16" t="n">
        <v>95</v>
      </c>
      <c r="F182" s="17" t="n">
        <v>0</v>
      </c>
      <c r="G182" s="18">
        <f>E182*F182</f>
        <v/>
      </c>
    </row>
    <row r="183" ht="26" customHeight="1">
      <c r="A183" s="13" t="inlineStr">
        <is>
          <t>LAB-31</t>
        </is>
      </c>
      <c r="B183" s="14" t="inlineStr">
        <is>
          <t>Team Leader (Out of Normal Working Hours)</t>
        </is>
      </c>
      <c r="C183" s="15" t="inlineStr"/>
      <c r="D183" s="15" t="inlineStr">
        <is>
          <t>per hour</t>
        </is>
      </c>
      <c r="E183" s="16" t="n">
        <v>145</v>
      </c>
      <c r="F183" s="17" t="n">
        <v>0</v>
      </c>
      <c r="G183" s="18">
        <f>E183*F183</f>
        <v/>
      </c>
    </row>
    <row r="184" ht="26" customHeight="1">
      <c r="A184" s="13" t="inlineStr">
        <is>
          <t>LAB-32</t>
        </is>
      </c>
      <c r="B184" s="14" t="inlineStr">
        <is>
          <t>Technician  (Normal Working Hours)</t>
        </is>
      </c>
      <c r="C184" s="15" t="inlineStr"/>
      <c r="D184" s="15" t="inlineStr">
        <is>
          <t>per hour</t>
        </is>
      </c>
      <c r="E184" s="16" t="n">
        <v>90</v>
      </c>
      <c r="F184" s="17" t="n">
        <v>0</v>
      </c>
      <c r="G184" s="18">
        <f>E184*F184</f>
        <v/>
      </c>
    </row>
    <row r="185" ht="26" customHeight="1">
      <c r="A185" s="13" t="inlineStr">
        <is>
          <t>LAB-33</t>
        </is>
      </c>
      <c r="B185" s="14" t="inlineStr">
        <is>
          <t>Technician  (Out of Normal Working Hours)</t>
        </is>
      </c>
      <c r="C185" s="15" t="inlineStr"/>
      <c r="D185" s="15" t="inlineStr">
        <is>
          <t>per hour</t>
        </is>
      </c>
      <c r="E185" s="16" t="n">
        <v>140</v>
      </c>
      <c r="F185" s="17" t="n">
        <v>0</v>
      </c>
      <c r="G185" s="18">
        <f>E185*F185</f>
        <v/>
      </c>
    </row>
    <row r="186" ht="26" customHeight="1">
      <c r="A186" s="13" t="inlineStr">
        <is>
          <t>LAB-34</t>
        </is>
      </c>
      <c r="B186" s="14" t="inlineStr">
        <is>
          <t>Radio Lines /Riggers (Normal Working Hours)</t>
        </is>
      </c>
      <c r="C186" s="15" t="inlineStr"/>
      <c r="D186" s="15" t="inlineStr">
        <is>
          <t>per hour</t>
        </is>
      </c>
      <c r="E186" s="16" t="n">
        <v>85</v>
      </c>
      <c r="F186" s="17" t="n">
        <v>0</v>
      </c>
      <c r="G186" s="18">
        <f>E186*F186</f>
        <v/>
      </c>
    </row>
    <row r="187" ht="26" customHeight="1">
      <c r="A187" s="13" t="inlineStr">
        <is>
          <t>LAB-35</t>
        </is>
      </c>
      <c r="B187" s="14" t="inlineStr">
        <is>
          <t>Radio Lines /Riggers (Out of Normal Working Hours)</t>
        </is>
      </c>
      <c r="C187" s="15" t="inlineStr"/>
      <c r="D187" s="15" t="inlineStr">
        <is>
          <t>per hour</t>
        </is>
      </c>
      <c r="E187" s="16" t="n">
        <v>135</v>
      </c>
      <c r="F187" s="17" t="n">
        <v>0</v>
      </c>
      <c r="G187" s="18">
        <f>E187*F187</f>
        <v/>
      </c>
    </row>
    <row r="188" ht="26" customHeight="1">
      <c r="A188" s="13" t="inlineStr">
        <is>
          <t>W13398</t>
        </is>
      </c>
      <c r="B188" s="14" t="inlineStr">
        <is>
          <t>Tier 2 Tower Inspections BAU when completing Build</t>
        </is>
      </c>
      <c r="C188" s="15" t="inlineStr"/>
      <c r="D188" s="15" t="inlineStr">
        <is>
          <t>per site</t>
        </is>
      </c>
      <c r="E188" s="16" t="n">
        <v>475</v>
      </c>
      <c r="F188" s="17" t="n">
        <v>0</v>
      </c>
      <c r="G188" s="18">
        <f>E188*F188</f>
        <v/>
      </c>
    </row>
    <row r="189" ht="24" customHeight="1">
      <c r="A189" s="5" t="inlineStr">
        <is>
          <t>PLANT HIRE</t>
        </is>
      </c>
      <c r="B189" s="6" t="n"/>
      <c r="C189" s="6" t="n"/>
      <c r="D189" s="6" t="n"/>
      <c r="E189" s="6" t="n"/>
      <c r="F189" s="6" t="n"/>
      <c r="G189" s="6" t="n"/>
    </row>
    <row r="190" ht="26" customHeight="1">
      <c r="A190" s="13" t="inlineStr"/>
      <c r="B190" s="14" t="inlineStr">
        <is>
          <t>Ewp hire - 20m</t>
        </is>
      </c>
      <c r="C190" s="15" t="inlineStr"/>
      <c r="D190" s="15" t="inlineStr">
        <is>
          <t>per hour</t>
        </is>
      </c>
      <c r="E190" s="16" t="n">
        <v>0</v>
      </c>
      <c r="F190" s="17" t="n">
        <v>0</v>
      </c>
      <c r="G190" s="18">
        <f>E190*F190</f>
        <v/>
      </c>
    </row>
    <row r="191" ht="26" customHeight="1">
      <c r="A191" s="13" t="inlineStr"/>
      <c r="B191" s="14" t="inlineStr">
        <is>
          <t>Ewp hire - 30m</t>
        </is>
      </c>
      <c r="C191" s="15" t="inlineStr"/>
      <c r="D191" s="15" t="inlineStr">
        <is>
          <t>per hour</t>
        </is>
      </c>
      <c r="E191" s="16" t="n">
        <v>0</v>
      </c>
      <c r="F191" s="17" t="n">
        <v>0</v>
      </c>
      <c r="G191" s="18">
        <f>E191*F191</f>
        <v/>
      </c>
    </row>
    <row r="192" ht="26" customHeight="1">
      <c r="A192" s="13" t="inlineStr"/>
      <c r="B192" s="14" t="inlineStr">
        <is>
          <t>Ewp hire - 32m</t>
        </is>
      </c>
      <c r="C192" s="15" t="inlineStr"/>
      <c r="D192" s="15" t="inlineStr">
        <is>
          <t>per hour</t>
        </is>
      </c>
      <c r="E192" s="16" t="n">
        <v>0</v>
      </c>
      <c r="F192" s="17" t="n">
        <v>0</v>
      </c>
      <c r="G192" s="18">
        <f>E192*F192</f>
        <v/>
      </c>
    </row>
    <row r="193" ht="26" customHeight="1">
      <c r="A193" s="13" t="inlineStr"/>
      <c r="B193" s="14" t="inlineStr">
        <is>
          <t>Ewp hire - 40m</t>
        </is>
      </c>
      <c r="C193" s="15" t="inlineStr"/>
      <c r="D193" s="15" t="inlineStr">
        <is>
          <t>per hour</t>
        </is>
      </c>
      <c r="E193" s="16" t="n">
        <v>0</v>
      </c>
      <c r="F193" s="17" t="n">
        <v>0</v>
      </c>
      <c r="G193" s="18">
        <f>E193*F193</f>
        <v/>
      </c>
    </row>
    <row r="194" ht="26" customHeight="1">
      <c r="A194" s="13" t="inlineStr"/>
      <c r="B194" s="14" t="inlineStr">
        <is>
          <t>Ewp hire - 45m</t>
        </is>
      </c>
      <c r="C194" s="15" t="inlineStr"/>
      <c r="D194" s="15" t="inlineStr">
        <is>
          <t>per hour</t>
        </is>
      </c>
      <c r="E194" s="16" t="n">
        <v>0</v>
      </c>
      <c r="F194" s="17" t="n">
        <v>0</v>
      </c>
      <c r="G194" s="18">
        <f>E194*F194</f>
        <v/>
      </c>
    </row>
    <row r="195" ht="26" customHeight="1">
      <c r="A195" s="13" t="inlineStr"/>
      <c r="B195" s="14" t="inlineStr">
        <is>
          <t>Ewp hire - 48m</t>
        </is>
      </c>
      <c r="C195" s="15" t="inlineStr"/>
      <c r="D195" s="15" t="inlineStr">
        <is>
          <t>per hour</t>
        </is>
      </c>
      <c r="E195" s="16" t="n">
        <v>0</v>
      </c>
      <c r="F195" s="17" t="n">
        <v>0</v>
      </c>
      <c r="G195" s="18">
        <f>E195*F195</f>
        <v/>
      </c>
    </row>
    <row r="196" ht="26" customHeight="1">
      <c r="A196" s="7" t="inlineStr"/>
      <c r="B196" s="8" t="inlineStr">
        <is>
          <t>Ewp hire - 51m</t>
        </is>
      </c>
      <c r="C196" s="9" t="inlineStr">
        <is>
          <t>REPLACE</t>
        </is>
      </c>
      <c r="D196" s="9" t="inlineStr">
        <is>
          <t>per hour</t>
        </is>
      </c>
      <c r="E196" s="10" t="n">
        <v>0</v>
      </c>
      <c r="F196" s="11" t="n">
        <v>2</v>
      </c>
      <c r="G196" s="12">
        <f>E196*F196</f>
        <v/>
      </c>
    </row>
    <row r="197" ht="26" customHeight="1">
      <c r="A197" s="13" t="inlineStr"/>
      <c r="B197" s="14" t="inlineStr">
        <is>
          <t>Ewp hire - 61m</t>
        </is>
      </c>
      <c r="C197" s="15" t="inlineStr"/>
      <c r="D197" s="15" t="inlineStr">
        <is>
          <t>per hour</t>
        </is>
      </c>
      <c r="E197" s="16" t="n">
        <v>0</v>
      </c>
      <c r="F197" s="17" t="n">
        <v>0</v>
      </c>
      <c r="G197" s="18">
        <f>E197*F197</f>
        <v/>
      </c>
    </row>
    <row r="198" ht="26" customHeight="1">
      <c r="A198" s="13" t="inlineStr"/>
      <c r="B198" s="14" t="inlineStr">
        <is>
          <t>Ewp hire - 72m</t>
        </is>
      </c>
      <c r="C198" s="15" t="inlineStr"/>
      <c r="D198" s="15" t="inlineStr">
        <is>
          <t>per hour</t>
        </is>
      </c>
      <c r="E198" s="16" t="n">
        <v>0</v>
      </c>
      <c r="F198" s="17" t="n">
        <v>0</v>
      </c>
      <c r="G198" s="18">
        <f>E198*F198</f>
        <v/>
      </c>
    </row>
    <row r="199" ht="26" customHeight="1">
      <c r="A199" s="13" t="inlineStr"/>
      <c r="B199" s="14" t="inlineStr">
        <is>
          <t>EWP hire - 103m price on application</t>
        </is>
      </c>
      <c r="C199" s="15" t="inlineStr"/>
      <c r="D199" s="15" t="inlineStr">
        <is>
          <t>per hour</t>
        </is>
      </c>
      <c r="E199" s="16" t="n">
        <v>0</v>
      </c>
      <c r="F199" s="17" t="n">
        <v>0</v>
      </c>
      <c r="G199" s="18">
        <f>E199*F199</f>
        <v/>
      </c>
    </row>
    <row r="200" ht="26" customHeight="1">
      <c r="A200" s="13" t="inlineStr"/>
      <c r="B200" s="14" t="inlineStr">
        <is>
          <t>Boom Hire 86ft Self Propelld</t>
        </is>
      </c>
      <c r="C200" s="15" t="inlineStr"/>
      <c r="D200" s="15" t="inlineStr">
        <is>
          <t>per week</t>
        </is>
      </c>
      <c r="E200" s="16" t="n">
        <v>0</v>
      </c>
      <c r="F200" s="17" t="n">
        <v>0</v>
      </c>
      <c r="G200" s="18">
        <f>E200*F200</f>
        <v/>
      </c>
    </row>
    <row r="201" ht="26" customHeight="1">
      <c r="A201" s="13" t="inlineStr"/>
      <c r="B201" s="14" t="inlineStr">
        <is>
          <t>Boom hire 135 self propelled</t>
        </is>
      </c>
      <c r="C201" s="15" t="inlineStr"/>
      <c r="D201" s="15" t="inlineStr">
        <is>
          <t>per week</t>
        </is>
      </c>
      <c r="E201" s="16" t="n">
        <v>0</v>
      </c>
      <c r="F201" s="17" t="n">
        <v>0</v>
      </c>
      <c r="G201" s="18">
        <f>E201*F201</f>
        <v/>
      </c>
    </row>
    <row r="202" ht="26" customHeight="1">
      <c r="A202" s="13" t="inlineStr"/>
      <c r="B202" s="14" t="inlineStr">
        <is>
          <t>Crane hire - Franna- 20t</t>
        </is>
      </c>
      <c r="C202" s="15" t="inlineStr"/>
      <c r="D202" s="15" t="inlineStr">
        <is>
          <t>per hour</t>
        </is>
      </c>
      <c r="E202" s="16" t="n">
        <v>0</v>
      </c>
      <c r="F202" s="17" t="n">
        <v>0</v>
      </c>
      <c r="G202" s="18">
        <f>E202*F202</f>
        <v/>
      </c>
    </row>
    <row r="203" ht="26" customHeight="1">
      <c r="A203" s="13" t="inlineStr"/>
      <c r="B203" s="14" t="inlineStr">
        <is>
          <t>Crane hire - Franna- 25t</t>
        </is>
      </c>
      <c r="C203" s="15" t="inlineStr"/>
      <c r="D203" s="15" t="inlineStr">
        <is>
          <t>per hour</t>
        </is>
      </c>
      <c r="E203" s="16" t="n">
        <v>0</v>
      </c>
      <c r="F203" s="17" t="n">
        <v>0</v>
      </c>
      <c r="G203" s="18">
        <f>E203*F203</f>
        <v/>
      </c>
    </row>
    <row r="204" ht="26" customHeight="1">
      <c r="A204" s="13" t="inlineStr"/>
      <c r="B204" s="14" t="inlineStr">
        <is>
          <t>Crane hire - Franna- 25t superlift</t>
        </is>
      </c>
      <c r="C204" s="15" t="inlineStr"/>
      <c r="D204" s="15" t="inlineStr">
        <is>
          <t>per hour</t>
        </is>
      </c>
      <c r="E204" s="16" t="n">
        <v>0</v>
      </c>
      <c r="F204" s="17" t="n">
        <v>0</v>
      </c>
      <c r="G204" s="18">
        <f>E204*F204</f>
        <v/>
      </c>
    </row>
    <row r="205" ht="26" customHeight="1">
      <c r="A205" s="13" t="inlineStr"/>
      <c r="B205" s="14" t="inlineStr">
        <is>
          <t>Crane hire - Franna- 40t</t>
        </is>
      </c>
      <c r="C205" s="15" t="inlineStr"/>
      <c r="D205" s="15" t="inlineStr">
        <is>
          <t>per hour</t>
        </is>
      </c>
      <c r="E205" s="16" t="n">
        <v>0</v>
      </c>
      <c r="F205" s="17" t="n">
        <v>0</v>
      </c>
      <c r="G205" s="18">
        <f>E205*F205</f>
        <v/>
      </c>
    </row>
    <row r="206" ht="26" customHeight="1">
      <c r="A206" s="13" t="inlineStr"/>
      <c r="B206" s="14" t="inlineStr">
        <is>
          <t>Crane hire - 20t City Crane</t>
        </is>
      </c>
      <c r="C206" s="15" t="inlineStr"/>
      <c r="D206" s="15" t="inlineStr">
        <is>
          <t>per hour</t>
        </is>
      </c>
      <c r="E206" s="16" t="n">
        <v>0</v>
      </c>
      <c r="F206" s="17" t="n">
        <v>0</v>
      </c>
      <c r="G206" s="18">
        <f>E206*F206</f>
        <v/>
      </c>
    </row>
    <row r="207" ht="26" customHeight="1">
      <c r="A207" s="13" t="inlineStr"/>
      <c r="B207" s="14" t="inlineStr">
        <is>
          <t>Crane hire - 40t all terrain</t>
        </is>
      </c>
      <c r="C207" s="15" t="inlineStr"/>
      <c r="D207" s="15" t="inlineStr">
        <is>
          <t>per hour</t>
        </is>
      </c>
      <c r="E207" s="16" t="n">
        <v>0</v>
      </c>
      <c r="F207" s="17" t="n">
        <v>0</v>
      </c>
      <c r="G207" s="18">
        <f>E207*F207</f>
        <v/>
      </c>
    </row>
    <row r="208" ht="26" customHeight="1">
      <c r="A208" s="13" t="inlineStr"/>
      <c r="B208" s="14" t="inlineStr">
        <is>
          <t>Crane hire - 55t all terrain</t>
        </is>
      </c>
      <c r="C208" s="15" t="inlineStr"/>
      <c r="D208" s="15" t="inlineStr">
        <is>
          <t>per hour</t>
        </is>
      </c>
      <c r="E208" s="16" t="n">
        <v>0</v>
      </c>
      <c r="F208" s="17" t="n">
        <v>0</v>
      </c>
      <c r="G208" s="18">
        <f>E208*F208</f>
        <v/>
      </c>
    </row>
    <row r="209" ht="26" customHeight="1">
      <c r="A209" s="13" t="inlineStr"/>
      <c r="B209" s="14" t="inlineStr">
        <is>
          <t>Crane hire - 60t all terrain</t>
        </is>
      </c>
      <c r="C209" s="15" t="inlineStr"/>
      <c r="D209" s="15" t="inlineStr">
        <is>
          <t>per hour</t>
        </is>
      </c>
      <c r="E209" s="16" t="n">
        <v>0</v>
      </c>
      <c r="F209" s="17" t="n">
        <v>0</v>
      </c>
      <c r="G209" s="18">
        <f>E209*F209</f>
        <v/>
      </c>
    </row>
    <row r="210" ht="26" customHeight="1">
      <c r="A210" s="13" t="inlineStr"/>
      <c r="B210" s="14" t="inlineStr">
        <is>
          <t>Crane hire - 80t all terrain</t>
        </is>
      </c>
      <c r="C210" s="15" t="inlineStr"/>
      <c r="D210" s="15" t="inlineStr">
        <is>
          <t>per hour</t>
        </is>
      </c>
      <c r="E210" s="16" t="n">
        <v>0</v>
      </c>
      <c r="F210" s="17" t="n">
        <v>0</v>
      </c>
      <c r="G210" s="18">
        <f>E210*F210</f>
        <v/>
      </c>
    </row>
    <row r="211" ht="26" customHeight="1">
      <c r="A211" s="13" t="inlineStr"/>
      <c r="B211" s="14" t="inlineStr">
        <is>
          <t>Crane hire - 90t all terrain</t>
        </is>
      </c>
      <c r="C211" s="15" t="inlineStr"/>
      <c r="D211" s="15" t="inlineStr">
        <is>
          <t>per hour</t>
        </is>
      </c>
      <c r="E211" s="16" t="n">
        <v>0</v>
      </c>
      <c r="F211" s="17" t="n">
        <v>0</v>
      </c>
      <c r="G211" s="18">
        <f>E211*F211</f>
        <v/>
      </c>
    </row>
    <row r="212" ht="26" customHeight="1">
      <c r="A212" s="7" t="inlineStr"/>
      <c r="B212" s="8" t="inlineStr">
        <is>
          <t>Crane hire - 100t all terrain</t>
        </is>
      </c>
      <c r="C212" s="9" t="inlineStr">
        <is>
          <t>INSTALL</t>
        </is>
      </c>
      <c r="D212" s="9" t="inlineStr">
        <is>
          <t>per hour</t>
        </is>
      </c>
      <c r="E212" s="10" t="n">
        <v>0</v>
      </c>
      <c r="F212" s="11" t="n">
        <v>2</v>
      </c>
      <c r="G212" s="12">
        <f>E212*F212</f>
        <v/>
      </c>
    </row>
    <row r="213" ht="26" customHeight="1">
      <c r="A213" s="13" t="inlineStr"/>
      <c r="B213" s="14" t="inlineStr">
        <is>
          <t>Crane hire - 130t all terrain</t>
        </is>
      </c>
      <c r="C213" s="15" t="inlineStr"/>
      <c r="D213" s="15" t="inlineStr">
        <is>
          <t>per hour</t>
        </is>
      </c>
      <c r="E213" s="16" t="n">
        <v>0</v>
      </c>
      <c r="F213" s="17" t="n">
        <v>0</v>
      </c>
      <c r="G213" s="18">
        <f>E213*F213</f>
        <v/>
      </c>
    </row>
    <row r="214" ht="26" customHeight="1">
      <c r="A214" s="13" t="inlineStr"/>
      <c r="B214" s="14" t="inlineStr">
        <is>
          <t>Crane hire - 150t all terrain</t>
        </is>
      </c>
      <c r="C214" s="15" t="inlineStr"/>
      <c r="D214" s="15" t="inlineStr">
        <is>
          <t>per hour</t>
        </is>
      </c>
      <c r="E214" s="16" t="n">
        <v>0</v>
      </c>
      <c r="F214" s="17" t="n">
        <v>0</v>
      </c>
      <c r="G214" s="18">
        <f>E214*F214</f>
        <v/>
      </c>
    </row>
    <row r="215" ht="26" customHeight="1">
      <c r="A215" s="13" t="inlineStr"/>
      <c r="B215" s="14" t="inlineStr">
        <is>
          <t>Crane hire - 200t all terrain</t>
        </is>
      </c>
      <c r="C215" s="15" t="inlineStr"/>
      <c r="D215" s="15" t="inlineStr">
        <is>
          <t>per hour</t>
        </is>
      </c>
      <c r="E215" s="16" t="n">
        <v>0</v>
      </c>
      <c r="F215" s="17" t="n">
        <v>0</v>
      </c>
      <c r="G215" s="18">
        <f>E215*F215</f>
        <v/>
      </c>
    </row>
    <row r="216" ht="26" customHeight="1">
      <c r="A216" s="13" t="inlineStr"/>
      <c r="B216" s="14" t="inlineStr">
        <is>
          <t>Crane hire - 220t all terrain</t>
        </is>
      </c>
      <c r="C216" s="15" t="inlineStr"/>
      <c r="D216" s="15" t="inlineStr">
        <is>
          <t>per hour</t>
        </is>
      </c>
      <c r="E216" s="16" t="n">
        <v>0</v>
      </c>
      <c r="F216" s="17" t="n">
        <v>0</v>
      </c>
      <c r="G216" s="18">
        <f>E216*F216</f>
        <v/>
      </c>
    </row>
    <row r="217" ht="26" customHeight="1">
      <c r="A217" s="13" t="inlineStr"/>
      <c r="B217" s="14" t="inlineStr">
        <is>
          <t>Crane hire - 250t all terrain</t>
        </is>
      </c>
      <c r="C217" s="15" t="inlineStr"/>
      <c r="D217" s="15" t="inlineStr">
        <is>
          <t>per hour</t>
        </is>
      </c>
      <c r="E217" s="16" t="n">
        <v>0</v>
      </c>
      <c r="F217" s="17" t="n">
        <v>0</v>
      </c>
      <c r="G217" s="18">
        <f>E217*F217</f>
        <v/>
      </c>
    </row>
    <row r="218" ht="24" customHeight="1">
      <c r="A218" s="5" t="inlineStr">
        <is>
          <t>TRAVEL AND ACCOMODATION</t>
        </is>
      </c>
      <c r="B218" s="6" t="n"/>
      <c r="C218" s="6" t="n"/>
      <c r="D218" s="6" t="n"/>
      <c r="E218" s="6" t="n"/>
      <c r="F218" s="6" t="n"/>
      <c r="G218" s="6" t="n"/>
    </row>
    <row r="219" ht="26" customHeight="1">
      <c r="A219" s="7" t="inlineStr"/>
      <c r="B219" s="8" t="inlineStr">
        <is>
          <t>Accommodation and meals</t>
        </is>
      </c>
      <c r="C219" s="9" t="inlineStr">
        <is>
          <t>INSTALL</t>
        </is>
      </c>
      <c r="D219" s="9" t="inlineStr">
        <is>
          <t>night</t>
        </is>
      </c>
      <c r="E219" s="10" t="n">
        <v>250</v>
      </c>
      <c r="F219" s="11" t="n">
        <v>1</v>
      </c>
      <c r="G219" s="12">
        <f>E219*F219</f>
        <v/>
      </c>
    </row>
    <row r="220" ht="26" customHeight="1">
      <c r="A220" s="13" t="inlineStr"/>
      <c r="B220" s="14" t="inlineStr">
        <is>
          <t>Capital city accommodation and meals</t>
        </is>
      </c>
      <c r="C220" s="15" t="inlineStr"/>
      <c r="D220" s="15" t="inlineStr">
        <is>
          <t>night</t>
        </is>
      </c>
      <c r="E220" s="16" t="n">
        <v>250</v>
      </c>
      <c r="F220" s="17" t="n">
        <v>0</v>
      </c>
      <c r="G220" s="18">
        <f>E220*F220</f>
        <v/>
      </c>
    </row>
    <row r="221" ht="26" customHeight="1">
      <c r="A221" s="13" t="inlineStr"/>
      <c r="B221" s="14" t="inlineStr">
        <is>
          <t>Travel per vehicle</t>
        </is>
      </c>
      <c r="C221" s="15" t="inlineStr"/>
      <c r="D221" s="15" t="inlineStr">
        <is>
          <t>per km</t>
        </is>
      </c>
      <c r="E221" s="16" t="n">
        <v>1.6</v>
      </c>
      <c r="F221" s="17" t="n">
        <v>0</v>
      </c>
      <c r="G221" s="18">
        <f>E221*F221</f>
        <v/>
      </c>
    </row>
    <row r="222" ht="26" customHeight="1">
      <c r="A222" s="7" t="inlineStr"/>
      <c r="B222" s="8" t="inlineStr">
        <is>
          <t>Travel charge rate per rigger/tech</t>
        </is>
      </c>
      <c r="C222" s="9" t="inlineStr">
        <is>
          <t>INSTALL</t>
        </is>
      </c>
      <c r="D222" s="9" t="inlineStr">
        <is>
          <t>per hr</t>
        </is>
      </c>
      <c r="E222" s="10" t="n">
        <v>85</v>
      </c>
      <c r="F222" s="11" t="n">
        <v>1</v>
      </c>
      <c r="G222" s="12">
        <f>E222*F222</f>
        <v/>
      </c>
    </row>
    <row r="223" ht="26" customHeight="1">
      <c r="A223" s="19" t="n"/>
      <c r="B223" s="20" t="inlineStr">
        <is>
          <t>TOTAL ESTIMATED COST (EXCLUDING GST)</t>
        </is>
      </c>
      <c r="C223" s="19" t="n"/>
      <c r="D223" s="19" t="n"/>
      <c r="E223" s="19" t="n"/>
      <c r="F223" s="19" t="n"/>
      <c r="G223" s="21">
        <f>SUM(G4:G222)</f>
        <v/>
      </c>
    </row>
  </sheetData>
  <autoFilter ref="A3:G222"/>
  <mergeCells count="9">
    <mergeCell ref="A44:G44"/>
    <mergeCell ref="A1:G1"/>
    <mergeCell ref="A189:G189"/>
    <mergeCell ref="A4:G4"/>
    <mergeCell ref="A20:G20"/>
    <mergeCell ref="A218:G218"/>
    <mergeCell ref="A104:G104"/>
    <mergeCell ref="A174:G174"/>
    <mergeCell ref="A121:G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2026-08-11T06:39:43Z</dcterms:created>
  <dcterms:modified xsi:type="dcterms:W3CDTF">2026-08-11T06:39:43Z</dcterms:modified>
</cp:coreProperties>
</file>
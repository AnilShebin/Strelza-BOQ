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of Rates" sheetId="1" state="visible" r:id="rId1"/>
  </sheets>
  <definedNames>
    <definedName name="_xlnm._FilterDatabase" localSheetId="0" hidden="1">'Schedule of Rates'!$A$3:$H$350</definedName>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name val="Segoe UI"/>
      <b val="1"/>
      <color rgb="001F376A"/>
      <sz val="14"/>
    </font>
    <font>
      <name val="Segoe UI"/>
      <b val="1"/>
      <color rgb="00FFFFFF"/>
      <sz val="11"/>
    </font>
    <font>
      <name val="Segoe UI"/>
      <b val="1"/>
      <color rgb="001F376A"/>
      <sz val="11"/>
    </font>
    <font>
      <name val="Segoe UI"/>
      <color rgb="002B3036"/>
      <sz val="10"/>
    </font>
    <font>
      <name val="Segoe UI"/>
      <b val="1"/>
      <color rgb="002B3036"/>
      <sz val="10"/>
    </font>
    <font>
      <name val="Segoe UI"/>
      <b val="1"/>
      <color rgb="001F376A"/>
      <sz val="10"/>
    </font>
  </fonts>
  <fills count="5">
    <fill>
      <patternFill/>
    </fill>
    <fill>
      <patternFill patternType="gray125"/>
    </fill>
    <fill>
      <patternFill patternType="solid">
        <fgColor rgb="001F376A"/>
        <bgColor rgb="001F376A"/>
      </patternFill>
    </fill>
    <fill>
      <patternFill patternType="solid">
        <fgColor rgb="00FFF3EA"/>
        <bgColor rgb="00FFF3EA"/>
      </patternFill>
    </fill>
    <fill>
      <patternFill patternType="solid">
        <fgColor rgb="00E2F0D9"/>
        <bgColor rgb="00E2F0D9"/>
      </patternFill>
    </fill>
  </fills>
  <borders count="4">
    <border>
      <left/>
      <right/>
      <top/>
      <bottom/>
      <diagonal/>
    </border>
    <border>
      <left style="thin">
        <color rgb="00CBD5E1"/>
      </left>
      <right style="thin">
        <color rgb="00CBD5E1"/>
      </right>
      <top style="thin">
        <color rgb="00CBD5E1"/>
      </top>
      <bottom style="thin">
        <color rgb="00CBD5E1"/>
      </bottom>
    </border>
    <border>
      <top style="thin">
        <color rgb="001F376A"/>
      </top>
      <bottom style="double">
        <color rgb="001F376A"/>
      </bottom>
    </border>
    <border>
      <top style="thin">
        <color rgb="001F376A"/>
      </top>
    </border>
  </borders>
  <cellStyleXfs count="1">
    <xf numFmtId="0" fontId="0" fillId="0" borderId="0"/>
  </cellStyleXfs>
  <cellXfs count="22">
    <xf numFmtId="0" fontId="0" fillId="0" borderId="0" pivotButton="0" quotePrefix="0" xfId="0"/>
    <xf numFmtId="0" fontId="1" fillId="0" borderId="0" applyAlignment="1" pivotButton="0" quotePrefix="0" xfId="0">
      <alignment horizontal="left" vertical="center"/>
    </xf>
    <xf numFmtId="0" fontId="2" fillId="2" borderId="1" applyAlignment="1" pivotButton="0" quotePrefix="0" xfId="0">
      <alignment horizontal="left" vertical="center"/>
    </xf>
    <xf numFmtId="0" fontId="2" fillId="2" borderId="1" applyAlignment="1" pivotButton="0" quotePrefix="0" xfId="0">
      <alignment horizontal="center" vertical="center"/>
    </xf>
    <xf numFmtId="0" fontId="2" fillId="2" borderId="1" applyAlignment="1" pivotButton="0" quotePrefix="0" xfId="0">
      <alignment horizontal="right" vertical="center"/>
    </xf>
    <xf numFmtId="0" fontId="3" fillId="3" borderId="1" applyAlignment="1" pivotButton="0" quotePrefix="0" xfId="0">
      <alignment horizontal="left" vertical="center"/>
    </xf>
    <xf numFmtId="0" fontId="0" fillId="0" borderId="1" pivotButton="0" quotePrefix="0" xfId="0"/>
    <xf numFmtId="0" fontId="4" fillId="0" borderId="1" applyAlignment="1" pivotButton="0" quotePrefix="0" xfId="0">
      <alignment horizontal="left" vertical="center"/>
    </xf>
    <xf numFmtId="0" fontId="4" fillId="0" borderId="1" applyAlignment="1" pivotButton="0" quotePrefix="0" xfId="0">
      <alignment horizontal="left" vertical="center" wrapText="1"/>
    </xf>
    <xf numFmtId="0" fontId="4" fillId="0" borderId="1" applyAlignment="1" pivotButton="0" quotePrefix="0" xfId="0">
      <alignment horizontal="center" vertical="center"/>
    </xf>
    <xf numFmtId="164" fontId="4" fillId="0" borderId="1" applyAlignment="1" pivotButton="0" quotePrefix="0" xfId="0">
      <alignment horizontal="right" vertical="center"/>
    </xf>
    <xf numFmtId="3" fontId="4" fillId="0" borderId="1" applyAlignment="1" pivotButton="0" quotePrefix="0" xfId="0">
      <alignment horizontal="center" vertical="center"/>
    </xf>
    <xf numFmtId="164" fontId="5" fillId="0" borderId="1" applyAlignment="1" pivotButton="0" quotePrefix="0" xfId="0">
      <alignment horizontal="right" vertical="center"/>
    </xf>
    <xf numFmtId="0" fontId="4" fillId="4" borderId="1" applyAlignment="1" pivotButton="0" quotePrefix="0" xfId="0">
      <alignment horizontal="left" vertical="center"/>
    </xf>
    <xf numFmtId="0" fontId="4" fillId="4" borderId="1" applyAlignment="1" pivotButton="0" quotePrefix="0" xfId="0">
      <alignment horizontal="left" vertical="center" wrapText="1"/>
    </xf>
    <xf numFmtId="0" fontId="4" fillId="4" borderId="1" applyAlignment="1" pivotButton="0" quotePrefix="0" xfId="0">
      <alignment horizontal="center" vertical="center"/>
    </xf>
    <xf numFmtId="164" fontId="4" fillId="4" borderId="1" applyAlignment="1" pivotButton="0" quotePrefix="0" xfId="0">
      <alignment horizontal="right" vertical="center"/>
    </xf>
    <xf numFmtId="3" fontId="5" fillId="4" borderId="1" applyAlignment="1" pivotButton="0" quotePrefix="0" xfId="0">
      <alignment horizontal="center" vertical="center"/>
    </xf>
    <xf numFmtId="164" fontId="5" fillId="4" borderId="1" applyAlignment="1" pivotButton="0" quotePrefix="0" xfId="0">
      <alignment horizontal="right" vertical="center"/>
    </xf>
    <xf numFmtId="0" fontId="0" fillId="3" borderId="3" pivotButton="0" quotePrefix="0" xfId="0"/>
    <xf numFmtId="0" fontId="6" fillId="3" borderId="3" applyAlignment="1" pivotButton="0" quotePrefix="0" xfId="0">
      <alignment horizontal="right" vertical="center"/>
    </xf>
    <xf numFmtId="164" fontId="3" fillId="3" borderId="2"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51"/>
  <sheetViews>
    <sheetView showGridLines="1" workbookViewId="0">
      <selection activeCell="A1" sqref="A1"/>
    </sheetView>
  </sheetViews>
  <sheetFormatPr baseColWidth="8" defaultRowHeight="15"/>
  <cols>
    <col width="15" customWidth="1" min="1" max="1"/>
    <col width="65" customWidth="1" min="2" max="2"/>
    <col width="15" customWidth="1" min="3" max="3"/>
    <col width="10" customWidth="1" min="4" max="4"/>
    <col width="15" customWidth="1" min="5" max="5"/>
    <col width="12" customWidth="1" min="6" max="6"/>
    <col width="20" customWidth="1" min="7" max="7"/>
    <col width="30" customWidth="1" min="8" max="8"/>
  </cols>
  <sheetData>
    <row r="1" ht="35" customHeight="1">
      <c r="A1" s="1" t="inlineStr">
        <is>
          <t>SCHEDULE OF RATES (SOR) BILL OF QUANTITIES</t>
        </is>
      </c>
    </row>
    <row r="3" ht="28" customHeight="1">
      <c r="A3" s="2" t="inlineStr">
        <is>
          <t>SOR Code</t>
        </is>
      </c>
      <c r="B3" s="2" t="inlineStr">
        <is>
          <t>Item Description</t>
        </is>
      </c>
      <c r="C3" s="3" t="inlineStr">
        <is>
          <t>Action</t>
        </is>
      </c>
      <c r="D3" s="3" t="inlineStr">
        <is>
          <t>Unit</t>
        </is>
      </c>
      <c r="E3" s="4" t="inlineStr">
        <is>
          <t>Rate</t>
        </is>
      </c>
      <c r="F3" s="3" t="inlineStr">
        <is>
          <t>Quantity</t>
        </is>
      </c>
      <c r="G3" s="4" t="inlineStr">
        <is>
          <t>Total Cost</t>
        </is>
      </c>
      <c r="H3" s="2" t="inlineStr">
        <is>
          <t>Comments</t>
        </is>
      </c>
    </row>
    <row r="4" ht="24" customHeight="1">
      <c r="A4" s="5" t="inlineStr">
        <is>
          <t>ODU AND SHELTER (INC PLANT)</t>
        </is>
      </c>
      <c r="B4" s="6" t="n"/>
      <c r="C4" s="6" t="n"/>
      <c r="D4" s="6" t="n"/>
      <c r="E4" s="6" t="n"/>
      <c r="F4" s="6" t="n"/>
      <c r="G4" s="6" t="n"/>
      <c r="H4" s="6" t="n"/>
    </row>
    <row r="5" ht="26" customHeight="1">
      <c r="A5" s="7" t="inlineStr">
        <is>
          <t>W7497</t>
        </is>
      </c>
      <c r="B5" s="8" t="inlineStr">
        <is>
          <t>Mobiles Site Shelter / Hut</t>
        </is>
      </c>
      <c r="C5" s="9" t="inlineStr"/>
      <c r="D5" s="9" t="inlineStr">
        <is>
          <t>each</t>
        </is>
      </c>
      <c r="E5" s="10" t="n">
        <v>1147.5</v>
      </c>
      <c r="F5" s="11" t="n">
        <v>0</v>
      </c>
      <c r="G5" s="12">
        <f>E5*F5</f>
        <v/>
      </c>
      <c r="H5" s="7" t="inlineStr"/>
    </row>
    <row r="6" ht="40" customHeight="1">
      <c r="A6" s="7" t="inlineStr">
        <is>
          <t>W7498</t>
        </is>
      </c>
      <c r="B6" s="8" t="inlineStr">
        <is>
          <t>Outdoor Cabinet (ODU) / Battery Backup Unit (BBU) Combination as per Standard Drawings 017866P12-14</t>
        </is>
      </c>
      <c r="C6" s="9" t="inlineStr"/>
      <c r="D6" s="9" t="inlineStr">
        <is>
          <t>each</t>
        </is>
      </c>
      <c r="E6" s="10" t="n">
        <v>9360</v>
      </c>
      <c r="F6" s="11" t="n">
        <v>0</v>
      </c>
      <c r="G6" s="12">
        <f>E6*F6</f>
        <v/>
      </c>
      <c r="H6" s="7" t="inlineStr"/>
    </row>
    <row r="7" ht="40" customHeight="1">
      <c r="A7" s="7" t="inlineStr">
        <is>
          <t>W13327</t>
        </is>
      </c>
      <c r="B7" s="8" t="inlineStr">
        <is>
          <t>Extended Battery Cabinet (EBE) – Extra Over W7498 Outdoor Cabinet (ODU) / Battery Backup Unit (BBU) Combination</t>
        </is>
      </c>
      <c r="C7" s="9" t="inlineStr"/>
      <c r="D7" s="9" t="inlineStr">
        <is>
          <t>each</t>
        </is>
      </c>
      <c r="E7" s="10" t="n">
        <v>3305</v>
      </c>
      <c r="F7" s="11" t="n">
        <v>0</v>
      </c>
      <c r="G7" s="12">
        <f>E7*F7</f>
        <v/>
      </c>
      <c r="H7" s="7" t="inlineStr"/>
    </row>
    <row r="8" ht="26" customHeight="1">
      <c r="A8" s="7" t="inlineStr">
        <is>
          <t>W13328</t>
        </is>
      </c>
      <c r="B8" s="8" t="inlineStr">
        <is>
          <t>Swap Out Old RBS in ODU with new RBS in ODU</t>
        </is>
      </c>
      <c r="C8" s="9" t="inlineStr"/>
      <c r="D8" s="9" t="inlineStr">
        <is>
          <t>each</t>
        </is>
      </c>
      <c r="E8" s="10" t="n">
        <v>1060</v>
      </c>
      <c r="F8" s="11" t="n">
        <v>0</v>
      </c>
      <c r="G8" s="12">
        <f>E8*F8</f>
        <v/>
      </c>
      <c r="H8" s="7" t="inlineStr"/>
    </row>
    <row r="9" ht="40" customHeight="1">
      <c r="A9" s="7" t="inlineStr">
        <is>
          <t>W13329</t>
        </is>
      </c>
      <c r="B9" s="8" t="inlineStr">
        <is>
          <t>Swap Out Old Battery Backup Unit (BBU) with new Battery Backup Unit (BBU)</t>
        </is>
      </c>
      <c r="C9" s="9" t="inlineStr"/>
      <c r="D9" s="9" t="inlineStr">
        <is>
          <t>each</t>
        </is>
      </c>
      <c r="E9" s="10" t="n">
        <v>1290</v>
      </c>
      <c r="F9" s="11" t="n">
        <v>0</v>
      </c>
      <c r="G9" s="12">
        <f>E9*F9</f>
        <v/>
      </c>
      <c r="H9" s="7" t="inlineStr"/>
    </row>
    <row r="10" ht="40" customHeight="1">
      <c r="A10" s="7" t="inlineStr">
        <is>
          <t>R13156</t>
        </is>
      </c>
      <c r="B10" s="8" t="inlineStr">
        <is>
          <t>Decommission, Removal and recovery of existing ODU including RBS equipment</t>
        </is>
      </c>
      <c r="C10" s="9" t="inlineStr"/>
      <c r="D10" s="9" t="inlineStr">
        <is>
          <t>each</t>
        </is>
      </c>
      <c r="E10" s="10" t="n">
        <v>2680</v>
      </c>
      <c r="F10" s="11" t="n">
        <v>0</v>
      </c>
      <c r="G10" s="12">
        <f>E10*F10</f>
        <v/>
      </c>
      <c r="H10" s="7" t="inlineStr"/>
    </row>
    <row r="11" ht="40" customHeight="1">
      <c r="A11" s="7" t="inlineStr">
        <is>
          <t>R13157</t>
        </is>
      </c>
      <c r="B11" s="8" t="inlineStr">
        <is>
          <t>Decommission, Removal and recovery of existing BBU or EBE including Power and battery</t>
        </is>
      </c>
      <c r="C11" s="9" t="inlineStr"/>
      <c r="D11" s="9" t="inlineStr">
        <is>
          <t>each</t>
        </is>
      </c>
      <c r="E11" s="10" t="n">
        <v>2450</v>
      </c>
      <c r="F11" s="11" t="n">
        <v>0</v>
      </c>
      <c r="G11" s="12">
        <f>E11*F11</f>
        <v/>
      </c>
      <c r="H11" s="7" t="inlineStr"/>
    </row>
    <row r="12" ht="24" customHeight="1">
      <c r="A12" s="5" t="inlineStr">
        <is>
          <t>CABLE TRAY AND CABLE SUPPORT STRUCTURES (INC PLANT)</t>
        </is>
      </c>
      <c r="B12" s="6" t="n"/>
      <c r="C12" s="6" t="n"/>
      <c r="D12" s="6" t="n"/>
      <c r="E12" s="6" t="n"/>
      <c r="F12" s="6" t="n"/>
      <c r="G12" s="6" t="n"/>
      <c r="H12" s="6" t="n"/>
    </row>
    <row r="13" ht="68" customHeight="1">
      <c r="A13" s="7" t="inlineStr">
        <is>
          <t>W8678</t>
        </is>
      </c>
      <c r="B13" s="8" t="inlineStr">
        <is>
          <t>Additional Horizontal Cable Feeder Tray Section between Structure and accommodation window/entry point (per 6m increments) - Extra Over initial 3 metres of horizontal cable tray included in Pole/Structure SORs (eg: W9106 or similar)</t>
        </is>
      </c>
      <c r="C13" s="9" t="inlineStr"/>
      <c r="D13" s="9" t="inlineStr">
        <is>
          <t>per 6 lm</t>
        </is>
      </c>
      <c r="E13" s="10" t="n">
        <v>1266.3</v>
      </c>
      <c r="F13" s="11" t="n">
        <v>0</v>
      </c>
      <c r="G13" s="12">
        <f>E13*F13</f>
        <v/>
      </c>
      <c r="H13" s="7" t="inlineStr"/>
    </row>
    <row r="14" ht="26" customHeight="1">
      <c r="A14" s="7" t="inlineStr">
        <is>
          <t>W9060</t>
        </is>
      </c>
      <c r="B14" s="8" t="inlineStr">
        <is>
          <t>Vertical Cable Feeder Tray (per 6m increments)</t>
        </is>
      </c>
      <c r="C14" s="9" t="inlineStr"/>
      <c r="D14" s="9" t="inlineStr">
        <is>
          <t>per 6 lm</t>
        </is>
      </c>
      <c r="E14" s="10" t="n">
        <v>897.2</v>
      </c>
      <c r="F14" s="11" t="n">
        <v>0</v>
      </c>
      <c r="G14" s="12">
        <f>E14*F14</f>
        <v/>
      </c>
      <c r="H14" s="7" t="inlineStr"/>
    </row>
    <row r="15" ht="26" customHeight="1">
      <c r="A15" s="7" t="inlineStr">
        <is>
          <t>W13366</t>
        </is>
      </c>
      <c r="B15" s="8" t="inlineStr">
        <is>
          <t>Horizontal Cable Feeder Tray (per 6m increments)</t>
        </is>
      </c>
      <c r="C15" s="9" t="inlineStr"/>
      <c r="D15" s="9" t="inlineStr">
        <is>
          <t>per 6 lm</t>
        </is>
      </c>
      <c r="E15" s="10" t="n">
        <v>1026.3</v>
      </c>
      <c r="F15" s="11" t="n">
        <v>0</v>
      </c>
      <c r="G15" s="12">
        <f>E15*F15</f>
        <v/>
      </c>
      <c r="H15" s="7" t="inlineStr"/>
    </row>
    <row r="16" ht="24" customHeight="1">
      <c r="A16" s="5" t="inlineStr">
        <is>
          <t>EARTHING (INC PLANT)</t>
        </is>
      </c>
      <c r="B16" s="6" t="n"/>
      <c r="C16" s="6" t="n"/>
      <c r="D16" s="6" t="n"/>
      <c r="E16" s="6" t="n"/>
      <c r="F16" s="6" t="n"/>
      <c r="G16" s="6" t="n"/>
      <c r="H16" s="6" t="n"/>
    </row>
    <row r="17" ht="26" customHeight="1">
      <c r="A17" s="7" t="inlineStr">
        <is>
          <t>W11417</t>
        </is>
      </c>
      <c r="B17" s="8" t="inlineStr">
        <is>
          <t>Buried Galvanised Earth Strap</t>
        </is>
      </c>
      <c r="C17" s="9" t="inlineStr"/>
      <c r="D17" s="9" t="inlineStr">
        <is>
          <t>lm</t>
        </is>
      </c>
      <c r="E17" s="10" t="n">
        <v>62.5</v>
      </c>
      <c r="F17" s="11" t="n">
        <v>0</v>
      </c>
      <c r="G17" s="12">
        <f>E17*F17</f>
        <v/>
      </c>
      <c r="H17" s="7" t="inlineStr"/>
    </row>
    <row r="18" ht="26" customHeight="1">
      <c r="A18" s="7" t="inlineStr">
        <is>
          <t>W11418</t>
        </is>
      </c>
      <c r="B18" s="8" t="inlineStr">
        <is>
          <t>Buried Copper Earth Strap</t>
        </is>
      </c>
      <c r="C18" s="9" t="inlineStr"/>
      <c r="D18" s="9" t="inlineStr">
        <is>
          <t>lm</t>
        </is>
      </c>
      <c r="E18" s="10" t="n">
        <v>68.3</v>
      </c>
      <c r="F18" s="11" t="n">
        <v>0</v>
      </c>
      <c r="G18" s="12">
        <f>E18*F18</f>
        <v/>
      </c>
      <c r="H18" s="7" t="inlineStr"/>
    </row>
    <row r="19" ht="26" customHeight="1">
      <c r="A19" s="7" t="inlineStr">
        <is>
          <t>W11419</t>
        </is>
      </c>
      <c r="B19" s="8" t="inlineStr">
        <is>
          <t>Driven Earth Electrodes (2 x 1440 long) &amp; Pit - First</t>
        </is>
      </c>
      <c r="C19" s="9" t="inlineStr"/>
      <c r="D19" s="9" t="inlineStr">
        <is>
          <t>each</t>
        </is>
      </c>
      <c r="E19" s="10" t="n">
        <v>936.5</v>
      </c>
      <c r="F19" s="11" t="n">
        <v>0</v>
      </c>
      <c r="G19" s="12">
        <f>E19*F19</f>
        <v/>
      </c>
      <c r="H19" s="7" t="inlineStr"/>
    </row>
    <row r="20" ht="40" customHeight="1">
      <c r="A20" s="7" t="inlineStr">
        <is>
          <t>W13325</t>
        </is>
      </c>
      <c r="B20" s="8" t="inlineStr">
        <is>
          <t>Additional earthing rods up to 1500 long - Extra Over W11419 (Driven Earth Electrodes (2 x 1440 long) &amp; Pit)</t>
        </is>
      </c>
      <c r="C20" s="9" t="inlineStr"/>
      <c r="D20" s="9" t="inlineStr">
        <is>
          <t>each</t>
        </is>
      </c>
      <c r="E20" s="10" t="n">
        <v>206.45</v>
      </c>
      <c r="F20" s="11" t="n">
        <v>0</v>
      </c>
      <c r="G20" s="12">
        <f>E20*F20</f>
        <v/>
      </c>
      <c r="H20" s="7" t="inlineStr"/>
    </row>
    <row r="21" ht="26" customHeight="1">
      <c r="A21" s="7" t="inlineStr">
        <is>
          <t>W11420</t>
        </is>
      </c>
      <c r="B21" s="8" t="inlineStr">
        <is>
          <t>Drilled Earth Electrode Up to 6 m long &amp; Pit - First</t>
        </is>
      </c>
      <c r="C21" s="9" t="inlineStr"/>
      <c r="D21" s="9" t="inlineStr">
        <is>
          <t>each</t>
        </is>
      </c>
      <c r="E21" s="10" t="n">
        <v>1290</v>
      </c>
      <c r="F21" s="11" t="n">
        <v>0</v>
      </c>
      <c r="G21" s="12">
        <f>E21*F21</f>
        <v/>
      </c>
      <c r="H21" s="7" t="inlineStr"/>
    </row>
    <row r="22" ht="40" customHeight="1">
      <c r="A22" s="7" t="inlineStr">
        <is>
          <t>W13326</t>
        </is>
      </c>
      <c r="B22" s="8" t="inlineStr">
        <is>
          <t>Additional earthing rods and/or rod length greater than 6 metres.- Extra Over W11420 (Drilled Earth Electrodes &amp; Pit)</t>
        </is>
      </c>
      <c r="C22" s="9" t="inlineStr"/>
      <c r="D22" s="9" t="inlineStr">
        <is>
          <t>lm</t>
        </is>
      </c>
      <c r="E22" s="10" t="n">
        <v>291</v>
      </c>
      <c r="F22" s="11" t="n">
        <v>0</v>
      </c>
      <c r="G22" s="12">
        <f>E22*F22</f>
        <v/>
      </c>
      <c r="H22" s="7" t="inlineStr"/>
    </row>
    <row r="23" ht="26" customHeight="1">
      <c r="A23" s="7" t="inlineStr">
        <is>
          <t>W12514</t>
        </is>
      </c>
      <c r="B23" s="8" t="inlineStr">
        <is>
          <t>Feeder Earth Bar (FEB)</t>
        </is>
      </c>
      <c r="C23" s="9" t="inlineStr"/>
      <c r="D23" s="9" t="inlineStr">
        <is>
          <t>each</t>
        </is>
      </c>
      <c r="E23" s="10" t="n">
        <v>465</v>
      </c>
      <c r="F23" s="11" t="n">
        <v>0</v>
      </c>
      <c r="G23" s="12">
        <f>E23*F23</f>
        <v/>
      </c>
      <c r="H23" s="7" t="inlineStr"/>
    </row>
    <row r="24" ht="24" customHeight="1">
      <c r="A24" s="5" t="inlineStr">
        <is>
          <t>ANTENNAS, RRUS, TMDS (EX PLANT, INC TESTING, FIM)</t>
        </is>
      </c>
      <c r="B24" s="6" t="n"/>
      <c r="C24" s="6" t="n"/>
      <c r="D24" s="6" t="n"/>
      <c r="E24" s="6" t="n"/>
      <c r="F24" s="6" t="n"/>
      <c r="G24" s="6" t="n"/>
      <c r="H24" s="6" t="n"/>
    </row>
    <row r="25" ht="26" customHeight="1">
      <c r="A25" s="13" t="inlineStr">
        <is>
          <t>R12513</t>
        </is>
      </c>
      <c r="B25" s="14" t="inlineStr">
        <is>
          <t>Remove Panel Antenna or tower mounted device</t>
        </is>
      </c>
      <c r="C25" s="15" t="inlineStr">
        <is>
          <t>REMOVE</t>
        </is>
      </c>
      <c r="D25" s="15" t="inlineStr">
        <is>
          <t>each</t>
        </is>
      </c>
      <c r="E25" s="16" t="n">
        <v>285</v>
      </c>
      <c r="F25" s="17" t="n">
        <v>23</v>
      </c>
      <c r="G25" s="18">
        <f>E25*F25</f>
        <v/>
      </c>
      <c r="H25" s="13" t="inlineStr">
        <is>
          <t>Statement: Table row under Equipment Notes Table: REMOVE 3.0x model KAELUS TOWER MOUNTED AMPLIFIER LTE700 details TMA2094F01V2-1 TMA2094F01V2-1 with ID 41 on sector - -&gt; Rules Applied: Tower Mounted Device Removal -&gt; Match Reason: Mapped deterministically by rule: Tower Mounted Device Removal | Statement: Table row under Equipment Notes Table: REMOVE 1.0x model GPS ANTENNA (LTE) details ERICSSON GPS KRE 101 2082 1 OMNI ERICSSON GPS KRE 101 2082 1 OMNI with ID 49 on sector - -&gt; Rules Applied: Remove Panel Antenna or tower mounted device -&gt; Match Reason: Mapped deterministically by rule: Remove Panel Antenna or tower mounted device | Statement: Table row under TELSTRA MOBILES ANTENNA CONFIGURATION TABLE (Right Table): REMOVE 1.0x model ARGUS RVVPX310B2 PANEL
2533 x 353 x 209mm details ARGUS RVVPX310B2 PANEL
2533 x 353 x 209mm ARGUS RVVPX310B2 PANEL
2533 x 353 x 209mm with ID A1 (OLD) on sector - -&gt; Rules Applied: Remove Panel Antenna or tower mounted device -&gt; Match Reason: Mapped deterministically by rule: Remove Panel Antenna or tower mounted device | Statement: Table row under TELSTRA MOBILES ANTENNA CONFIGURATION TABLE (Right Table): REMOVE 1.0x model ARGUS RVVPX310B2 PANEL
2533 x 353 x 209mm details ARGUS RVVPX310B2 PANEL
2533 x 353 x 209mm ARGUS RVVPX310B2 PANEL
2533 x 353 x 209mm with ID A2 (OLD) on sector - -&gt; Rules Applied: Remove Panel Antenna or tower mounted device -&gt; Match Reason: Mapped deterministically by rule: Remove Panel Antenna or tower mounted device | Statement: Table row under TELSTRA MOBILES ANTENNA CONFIGURATION TABLE (Right Table): REMOVE 1.0x model ARGUS RVVPX310B2 PANEL
2533 x 353 x 209mm details ARGUS RVVPX310B2 PANEL
2533 x 353 x 209mm ARGUS RVVPX310B2 PANEL
2533 x 353 x 209mm with ID A3 (OLD) on sector - -&gt; Rules Applied: Remove Panel Antenna or tower mounted device -&gt; Match Reason: Mapped deterministically by rule: Remove Panel Antenna or tower mounted device | Statement: Table row under TELSTRA MOBILES ANTENNA CONFIGURATION TABLE (Right Table): REMOVE 1.0x model ERICSSON AIR6488 PANEL
810 x 400 x 200mm details ERICSSON AIR6488 PANEL
810 x 400 x 200mm ERICSSON AIR6488 PANEL
810 x 400 x 200mm with ID A4 (OLD) on sector - -&gt; Rules Applied: Remove Panel Antenna or tower mounted device -&gt; Match Reason: Mapped deterministically by rule: Remove Panel Antenna or tower mounted device | Statement: Table row under TELSTRA MOBILES ANTENNA CONFIGURATION TABLE (Right Table): REMOVE 1.0x model ERICSSON AIR6488 PANEL
810 x 400 x 200mm details ERICSSON AIR6488 PANEL
810 x 400 x 200mm ERICSSON AIR6488 PANEL
810 x 400 x 200mm with ID A5 (OLD) on sector - -&gt; Rules Applied: Remove Panel Antenna or tower mounted device -&gt; Match Reason: Mapped deterministically by rule: Remove Panel Antenna or tower mounted device | Statement: Table row under TELSTRA MOBILES ANTENNA CONFIGURATION TABLE (Right Table): REMOVE 1.0x model ERICSSON AIR6488 PANEL
810 x 400 x 200mm details ERICSSON AIR6488 PANEL
810 x 400 x 200mm ERICSSON AIR6488 PANEL
810 x 400 x 200mm with ID A6 (OLD) on sector - -&gt; Rules Applied: Remove Panel Antenna or tower mounted device -&gt; Match Reason: Mapped deterministically by rule: Remove Panel Antenna or tower mounted device | Statement: Table row under TELSTRA MOBILES ANTENNA CONFIGURATION TABLE (Right Table): REMOVE 1.0x model ARGUS RVVPX310.11B-T2 PANEL
2533 x 350 x 208mm details ARGUS RVVPX310.11B-T2 PANEL
2533 x 350 x 208mm ARGUS RVVPX310.11B-T2 PANEL
2533 x 350 x 208mm with ID A7 on sector - -&gt; Rules Applied: Remove Panel Antenna or tower mounted device -&gt; Match Reason: Mapped deterministically by rule: Remove Panel Antenna or tower mounted device | Statement: Table row under TELSTRA MOBILES ANTENNA CONFIGURATION TABLE (Right Table): REMOVE 1.0x model ARGUS RVVPX310.11B-T2 PANEL
2533 x 350 x 208mm details ARGUS RVVPX310.11B-T2 PANEL
2533 x 350 x 208mm ARGUS RVVPX310.11B-T2 PANEL
2533 x 350 x 208mm with ID A8 on sector - -&gt; Rules Applied: Remove Panel Antenna or tower mounted device -&gt; Match Reason: Mapped deterministically by rule: Remove Panel Antenna or tower mounted device | Statement: Table row under TELSTRA MOBILES ANTENNA CONFIGURATION TABLE (Right Table): REMOVE 1.0x model ARGUS RVVPX310.11B-T2 PANEL
2533 x 350 x 208mm details ARGUS RVVPX310.11B-T2 PANEL
2533 x 350 x 208mm ARGUS RVVPX310.11B-T2 PANEL
2533 x 350 x 208mm with ID A9 on sector - -&gt; Rules Applied: Remove Panel Antenna or tower mounted device -&gt; Match Reason: Mapped deterministically by rule: Remove Panel Antenna or tower mounted device | Statement: EXISTING TELSTRA STEEL SUPPORT STRUCTURE ASSOCIATED WITH ANTENNAS AND
MOUNTS SECTOR 3 TO BE RECOVERED AND PROPOSED STEEL SUPPORT STRUCTURE
FOR SECTOR 3 WILL BE INSTALLED IN CLOSER TO THE SECTOR 1 LOCATION -&gt; Rules Applied: Remove Panel Antenna or tower mounted device -&gt; Match Reason: Mapped deterministically by rule: Remove Panel Antenna or tower mounted device | Statement: EXISTING TELSTRA LTE700 GPS ANTENNA (1 OFF A10) TO BE
RECOVERED AND REPLACED WITH PROPOSED TELSTRA
KAELUS KA-7005-1110 GPS ANTENNA (1 OFF A10) TO BE
INSTALLED AT 4.4m USING STANDARD MOUNT ON EXISTING
MOUNT. EXISTING GPS SURGE ARRESTER (1 OFF) TO BE REUSED -&gt; Rules Applied: Remove Panel Antenna or tower mounted device -&gt; Match Reason: Mapped deterministically by rule: Remove Panel Antenna or tower mounted device | Statement: EXISTING TELSTRA SECTOR 3 ANTENNAS AND
MOUNTS ARE TO BE RECOVERED AND PROPOSED
STRUCTURE WILL BE INSTALLED BEHIND SECTOR 1 -&gt; Rules Applied: Remove Panel Antenna or tower mounted device -&gt; Match Reason: Mapped deterministically by rule: Remove Panel Antenna or tower mounted device | Statement: EXISTING ANTENNA MOUNT ALONG WITH
STANDOFF TO BE RECOVERED. EXISTING
WELDED STANDOFF TO MAIN POLE TO BE
CUT AND SEALED WITH END CAP (TYP.) -&gt; Rules Applied: Remove Panel Antenna or tower mounted device -&gt; Match Reason: Mapped deterministically by rule: Remove Panel Antenna or tower mounted device | Statement: EXISTING ANTENNA MOUNT
ALONG WITH STANDOFF TO
BE RECOVERED. EXISTING
WELDED STANDOFF TO
MAIN POLE TO BE CUT AND
SEALED WITH END CAP. -&gt; Rules Applied: Remove Panel Antenna or tower mounted device -&gt; Match Reason: Mapped deterministically by rule: Remove Panel Antenna or tower mounted device</t>
        </is>
      </c>
    </row>
    <row r="26" ht="26" customHeight="1">
      <c r="A26" s="13" t="inlineStr">
        <is>
          <t>W7520</t>
        </is>
      </c>
      <c r="B26" s="14" t="inlineStr">
        <is>
          <t>One panel Antenna</t>
        </is>
      </c>
      <c r="C26" s="15" t="inlineStr">
        <is>
          <t>INSTALL</t>
        </is>
      </c>
      <c r="D26" s="15" t="inlineStr">
        <is>
          <t>each</t>
        </is>
      </c>
      <c r="E26" s="16" t="n">
        <v>860</v>
      </c>
      <c r="F26" s="17" t="n">
        <v>19</v>
      </c>
      <c r="G26" s="18">
        <f>E26*F26</f>
        <v/>
      </c>
      <c r="H26" s="13" t="inlineStr">
        <is>
          <t>Statement: Table row under EQUIPMENT NOTES: INSTALL 1.0x model FIBRE PATCH PANEL details INSTALLED IN 45RU PATHFINDER RACK RT/2/2 INSTALLED IN 45RU PATHFINDER RACK RT/2/2 with ID 23 on sector - -&gt; Rules Applied: One panel Antenna -&gt; Match Reason: Mapped deterministically by rule: One panel Antenna | Statement: Table row under Equipment Notes Table: INSTALL 1.0x model GPS SPLITTER details INSTALLED IN 45RU PATHFINDER RACK GD/2/3 INSTALLED IN 45RU PATHFINDER RACK GD/2/3 with ID 47 on sector - -&gt; Rules Applied: One panel Antenna -&gt; Match Reason: Mapped deterministically by rule: One panel Antenna | Statement: Table row under Equipment Notes Table: INSTALL 1.0x model KAELUS, DUAL BAND GNSS GPS ACTIVE ANTE details KA-7005-1110 KA-7005-1110 with ID 51 on sector - -&gt; Rules Applied: One panel Antenna -&gt; Match Reason: Mapped deterministically by rule: One panel Antenna | Statement: Table row under Equipment Notes Table: INSTALL 1.0x model GPS WBT TOD CABLE details WBT R6000 TOD CABLE - 3M WBT R6000 TOD CABLE - 3M with ID 53 on sector - -&gt; Rules Applied: One panel Antenna -&gt; Match Reason: Mapped deterministically by rule: One panel Antenna | Statement: Table row under Equipment Notes Table: INSTALL 1.0x model GPS SYNC CABLE details RPM1136127/2000 RPM1136127/2000 with ID 54 on sector - -&gt; Rules Applied: One panel Antenna -&gt; Match Reason: Mapped deterministically by rule: One panel Antenna | Statement: Table row under TELSTRA MOBILES ANTENNA CONFIGURATION TABLE (Left Table): INSTALL 1.0x model KAELUS F6RHEU01 PANEL
2705 x 470 x 178mm details KAELUS F6RHEU01 PANEL
2705 x 470 x 178mm KAELUS F6RHEU01 PANEL
2705 x 470 x 178mm with ID A1 on sector S1: LTE700/NR850
S1: LTE700/NR850
S1: LTE1800/LTE2100/NR/LTE2600
S1: LTE1800/LTE2100/NR/LTE2600
S1: LTE1800/LTE2100/NR/LTE2600
S1: LTE1800/LTE2100/NR/LTE2600 -&gt; Rules Applied: One panel Antenna -&gt; Match Reason: Mapped deterministically by rule: One panel Antenna | Statement: Table row under TELSTRA MOBILES ANTENNA CONFIGURATION TABLE (Left Table): INSTALL 1.0x model KAELUS F6RHEU01 PANEL
2705 x 470 x 178mm details KAELUS F6RHEU01 PANEL
2705 x 470 x 178mm KAELUS F6RHEU01 PANEL
2705 x 470 x 178mm with ID A2 on sector S2: LTE700/NR850
S2: LTE700/NR850
S2: LTE700/NR850
S2: LTE1800/LTE2100/NR/LTE2600
S2: LTE1800/LTE2100/NR/LTE2600
S2: LTE1800/LTE2100/NR/LTE2600
S2: LTE1800/LTE2100/NR/LTE2600 -&gt; Rules Applied: One panel Antenna -&gt; Match Reason: Mapped deterministically by rule: One panel Antenna | Statement: Table row under TELSTRA MOBILES ANTENNA CONFIGURATION TABLE (Left Table): INSTALL 1.0x model KAELUS F6RHEU01 PANEL
2705 x 470 x 178mm details KAELUS F6RHEU01 PANEL
2705 x 470 x 178mm KAELUS F6RHEU01 PANEL
2705 x 470 x 178mm with ID A3 on sector S3: LTE700/NR850
S3: LTE700/NR850
S3: LTE700/NR850
S3: LTE700/NR850
S3: LTE1800/LTE2100/NR/LTE2600
S3: LTE1800/LTE2100/NR/LTE2600
S3: LTE1800/LTE2100/NR/LTE2600
S3: LTE1800/LTE2100/NR/LTE2600 -&gt; Rules Applied: One panel Antenna -&gt; Match Reason: Mapped deterministically by rule: One panel Antenna | Statement: Table row under TELSTRA MOBILES ANTENNA CONFIGURATION TABLE (Left Table): INSTALL 1.0x model ERICSSON AIR3258 PANEL
793 x 408 x 235mm details ERICSSON AIR3258 PANEL
793 x 408 x 235mm ERICSSON AIR3258 PANEL
793 x 408 x 235mm with ID A4 on sector S1: NR3600
S1: NR3600 -&gt; Rules Applied: One panel Antenna -&gt; Match Reason: Mapped deterministically by rule: One panel Antenna | Statement: Table row under TELSTRA MOBILES ANTENNA CONFIGURATION TABLE (Left Table): INSTALL 1.0x model ERICSSON AIR3258 PANEL
793 x 408 x 235mm details ERICSSON AIR3258 PANEL
793 x 408 x 235mm ERICSSON AIR3258 PANEL
793 x 408 x 235mm with ID A5 on sector S2: NR3600
S2: NR3600 -&gt; Rules Applied: One panel Antenna -&gt; Match Reason: Mapped deterministically by rule: One panel Antenna | Statement: Table row under TELSTRA MOBILES ANTENNA CONFIGURATION TABLE (Left Table): INSTALL 1.0x model ERICSSON AIR3258 PANEL
793 x 408 x 235mm details ERICSSON AIR3258 PANEL
793 x 408 x 235mm ERICSSON AIR3258 PANEL
793 x 408 x 235mm with ID A6 on sector S3: NR3600
S3: NR3600 -&gt; Rules Applied: One panel Antenna -&gt; Match Reason: Mapped deterministically by rule: One panel Antenna | Statement: Table row under MEMBER SCHEDULE (Right): INSTALL 6.0x model PROPOSED ANTENNA MOUNT Ø76.1 x 5.9 THK. CHS - 2800mm LONG details   with ID AM1 on sector - -&gt; Rules Applied: One panel Antenna -&gt; Match Reason: Mapped deterministically by rule: One panel Antenna | Statement: Table row under MEMBER SCHEDULE (Right): INSTALL 5.0x model PROPOSED ANTENNA STANDOFF Ø76.1 x 5.9 THK. CHS - 450mm LONG details   with ID ST1 on sector - -&gt; Rules Applied: One panel Antenna -&gt; Match Reason: Mapped deterministically by rule: One panel Antenna | Statement: Table row under MEMBER SCHEDULE (Right): INSTALL 5.0x model PROPOSED ANTENNA STANDOFF Ø76.1 x 5.9 THK. CHS - 100mm LONG details   with ID ST2 on sector - -&gt; Rules Applied: One panel Antenna -&gt; Match Reason: Mapped deterministically by rule: One panel Antenna | Statement: Table row under MEMBER SCHEDULE (Right): INSTALL 2.0x model PROPOSED ANTENNA STANDOFF Ø76.1 x 5.9 THK. CHS - 100mm LONG details   with ID ST3 on sector - -&gt; Rules Applied: One panel Antenna -&gt; Match Reason: Mapped deterministically by rule: One panel Antenna | Statement: Table row under MEMBER SCHEDULE (Right): INSTALL 2.0x model PROPOSED ANTENNA STANDOFF Ø76.1 x 5.9 THK. CHS - 350mm LONG details   with ID ST4 on sector - -&gt; Rules Applied: One panel Antenna -&gt; Match Reason: Mapped deterministically by rule: One panel Antenna | Statement: ANTENNA MOUNTS
TELSTRA: PROPOSED AND EXISTING TELSTRA
STEEL MOUNTS
COLOUR: GALVANISED FINISH
REFERENCE DRAWING: SHEETS T3 TO T3-18 -&gt; Rules Applied: One panel Antenna -&gt; Match Reason: Mapped deterministically by rule: One panel Antenna | Statement: SERVICES LEGEND
OPTIC FIBRE ABOVE GROUND
OPTIC FIBRE BELOW GROUND
ABOVE GROUND ELECTRICAL SUPPLY
BELOW GROUND ELECTRICAL SUPPLY
GAS SUPPLY
HIGH VOLTAGE ELECTRICAL SUPPLY
WATER SUPPLY
SEWER LINE
STORM WATER
ABOVE GROUND FEEDER CABLES
BELOW GROUND FEEDER CABLES
DENOTES PROPOSED TELSTRA ANTENNA SECTOR
AS SHOWN ON SHEETS S1-1 &amp; S1-2 -&gt; Rules Applied: One panel Antenna -&gt; Match Reason: Mapped deterministically by rule: One panel Antenna | Statement: PROPOSED EME SIGN SECURED 2m BELOW
THE TELSTRA ANTENNAS ON THE WALL
#15 -&gt; Rules Applied: One panel Antenna -&gt; Match Reason: Mapped deterministically by rule: One panel Antenna | Statement: EXISTING STEEL STRUCTURE 1 SUPPORTS EXISTING TELSTRA
PANEL ANTENNAS (SECTOR 1) AND PROPOSED RRU (1 OFF)
AND EXISTING RRU INTERFACE JUNCTION BOX (1 OFF) -&gt; Rules Applied: One panel Antenna -&gt; Match Reason: Mapped deterministically by rule: One panel Antenna | Statement: EXISTING STEEL STRUCTURE 2 SUPPORTS EXISTING/PROPOSED
TELSTRA PANEL ANTENNAS (SECTOR 2) AND PROPOSED RRU
(1 OFF) AND EXISTING RRU INTERFACE JUNCTION BOX (1 OFF) -&gt; Rules Applied: One panel Antenna -&gt; Match Reason: Mapped deterministically by rule: One panel Antenna | Statement: PROPOSED SIGNS UV STABLE STICKERS AND FIXED
TO REAR OF ALL TELSTRA PANEL ANTENNAS
# 2 -&gt; Rules Applied: One panel Antenna -&gt; Match Reason: Mapped deterministically by rule: One panel Antenna | Statement: PATCH PANEL &amp;
SIU
IN DONOR RACK
EXISTING WCDMA850 IM FILTERS (3 OFF) INSTALLED
IN MISC. RACK TO BE MAKE IT AS SPARE -&gt; Rules Applied: One panel Antenna -&gt; Match Reason: Mapped deterministically by rule: One panel Antenna | Statement: E.L. 26.15m 
C/L PROPOSED 5G ANTENNA -&gt; Rules Applied: One panel Antenna -&gt; Match Reason: Mapped deterministically by rule: One panel Antenna | Statement: E.L. 27.85m
C/L PROPOSED
5G ANTENNA -&gt; Rules Applied: One panel Antenna -&gt; Match Reason: Mapped deterministically by rule: One panel Antenna | Statement: E.L. 26.90m
C/L PROPOSED
4G ANTENNA -&gt; Rules Applied: One panel Antenna -&gt; Match Reason: Mapped deterministically by rule: One panel Antenna | Statement: E.L. 26.15m
C/L PROPOSED 5G ANTENNA -&gt; Rules Applied: One panel Antenna -&gt; Match Reason: Mapped deterministically by rule: One panel Antenna | Statement: E.L. 25.2m
C/L PROPOSED 4G ANTENNA -&gt; Rules Applied: One panel Antenna -&gt; Match Reason: Mapped deterministically by rule: One panel Antenna | Statement: PROPOSED SIGNS UV STABLE STICKERS AND FIXED
TO REAR OF ALL TELSTRA PANEL ANTENNAS -&gt; Rules Applied: One panel Antenna -&gt; Match Reason: Mapped deterministically by rule: One panel Antenna</t>
        </is>
      </c>
    </row>
    <row r="27" ht="26" customHeight="1">
      <c r="A27" s="13" t="inlineStr">
        <is>
          <t>W13360</t>
        </is>
      </c>
      <c r="B27" s="14" t="inlineStr">
        <is>
          <t>One panel Antenna - extra over</t>
        </is>
      </c>
      <c r="C27" s="15" t="inlineStr">
        <is>
          <t>INSTALL</t>
        </is>
      </c>
      <c r="D27" s="15" t="inlineStr">
        <is>
          <t>each</t>
        </is>
      </c>
      <c r="E27" s="16" t="n">
        <v>475</v>
      </c>
      <c r="F27" s="17" t="n">
        <v>17</v>
      </c>
      <c r="G27" s="18">
        <f>E27*F27</f>
        <v/>
      </c>
      <c r="H27" s="13" t="inlineStr">
        <is>
          <t>Tiered Extra Over rate for 5.0 subsequent units | Tiered Extra Over rate for 4.0 subsequent units | Tiered Extra Over rate for 1.0 subsequent units | Tiered Extra Over rate for 2.0 subsequent units</t>
        </is>
      </c>
    </row>
    <row r="28" ht="26" customHeight="1">
      <c r="A28" s="7" t="inlineStr"/>
      <c r="B28" s="8" t="inlineStr">
        <is>
          <t>One panel antenna (12 port )</t>
        </is>
      </c>
      <c r="C28" s="9" t="inlineStr"/>
      <c r="D28" s="9" t="inlineStr">
        <is>
          <t>each</t>
        </is>
      </c>
      <c r="E28" s="10" t="n">
        <v>1255</v>
      </c>
      <c r="F28" s="11" t="n">
        <v>0</v>
      </c>
      <c r="G28" s="12">
        <f>E28*F28</f>
        <v/>
      </c>
      <c r="H28" s="7" t="inlineStr"/>
    </row>
    <row r="29" ht="26" customHeight="1">
      <c r="A29" s="7" t="inlineStr">
        <is>
          <t>W13358</t>
        </is>
      </c>
      <c r="B29" s="8" t="inlineStr">
        <is>
          <t>One 5G AAU - first</t>
        </is>
      </c>
      <c r="C29" s="9" t="inlineStr"/>
      <c r="D29" s="9" t="inlineStr">
        <is>
          <t>each</t>
        </is>
      </c>
      <c r="E29" s="10" t="n">
        <v>1419</v>
      </c>
      <c r="F29" s="11" t="n">
        <v>0</v>
      </c>
      <c r="G29" s="12">
        <f>E29*F29</f>
        <v/>
      </c>
      <c r="H29" s="7" t="inlineStr"/>
    </row>
    <row r="30" ht="26" customHeight="1">
      <c r="A30" s="7" t="inlineStr">
        <is>
          <t>W13359</t>
        </is>
      </c>
      <c r="B30" s="8" t="inlineStr">
        <is>
          <t>One 5G AAU - extra over</t>
        </is>
      </c>
      <c r="C30" s="9" t="inlineStr"/>
      <c r="D30" s="9" t="inlineStr">
        <is>
          <t>each</t>
        </is>
      </c>
      <c r="E30" s="10" t="n">
        <v>735</v>
      </c>
      <c r="F30" s="11" t="n">
        <v>0</v>
      </c>
      <c r="G30" s="12">
        <f>E30*F30</f>
        <v/>
      </c>
      <c r="H30" s="7" t="inlineStr"/>
    </row>
    <row r="31" ht="26" customHeight="1">
      <c r="A31" s="13" t="inlineStr">
        <is>
          <t>W13178</t>
        </is>
      </c>
      <c r="B31" s="14" t="inlineStr">
        <is>
          <t>One Panel antenna relocation</t>
        </is>
      </c>
      <c r="C31" s="15" t="inlineStr">
        <is>
          <t>RELOCATE</t>
        </is>
      </c>
      <c r="D31" s="15" t="inlineStr">
        <is>
          <t>each</t>
        </is>
      </c>
      <c r="E31" s="16" t="n">
        <v>960</v>
      </c>
      <c r="F31" s="17" t="n">
        <v>3</v>
      </c>
      <c r="G31" s="18">
        <f>E31*F31</f>
        <v/>
      </c>
      <c r="H31" s="13" t="inlineStr">
        <is>
          <t>Statement: EXISTING TELSTRA W&amp;B RRU INTERFACE JUNCTION BOX (1 OFF) FOR
LTE1800/LTE2100/NR/LTE2600/NR3600 TO BE REUSED AND RELOCATED
MOUNTED BEHIND PANEL ANTENNA (A5) ON PROPOSED ANTENNA MOUNT -&gt; Rules Applied: One Panel antenna relocation -&gt; Match Reason: Mapped deterministically by rule: One Panel antenna relocation | Statement: EXISTING TELSTRA FIBRE PATCH PANEL (1 OFF), CABLE GUIDE (4 OFF) &amp; FIBRE MGMT TRAY (1 OFF) TO BE REUSED. EXISTING TELSTRA R6675 (1 OFF) TO BE RELOCATED FROM RT/2/2/9 TO RT/2/2/29 -&gt; Rules Applied: One Panel antenna relocation -&gt; Match Reason: Mapped deterministically by rule: One Panel antenna relocation | Statement: EXISTING TELSTRA W&amp;B RRU INTERFACE JUNCTION BOX (1 OFF)
FOR LTE1800/LTE2100/NR/LTE2600/NR3600 TO BE REUSED AND
RELOCATED ON PROPOSED ANTENNA MOUNT -&gt; Rules Applied: One Panel antenna relocation -&gt; Match Reason: Mapped deterministically by rule: One Panel antenna relocation</t>
        </is>
      </c>
    </row>
    <row r="32" ht="26" customHeight="1">
      <c r="A32" s="7" t="inlineStr">
        <is>
          <t>W7519</t>
        </is>
      </c>
      <c r="B32" s="8" t="inlineStr">
        <is>
          <t>OMNI Antenna</t>
        </is>
      </c>
      <c r="C32" s="9" t="inlineStr"/>
      <c r="D32" s="9" t="inlineStr">
        <is>
          <t>each</t>
        </is>
      </c>
      <c r="E32" s="10" t="n">
        <v>0</v>
      </c>
      <c r="F32" s="11" t="n">
        <v>0</v>
      </c>
      <c r="G32" s="12">
        <f>E32*F32</f>
        <v/>
      </c>
      <c r="H32" s="7" t="inlineStr"/>
    </row>
    <row r="33" ht="26" customHeight="1">
      <c r="A33" s="13" t="inlineStr"/>
      <c r="B33" s="14" t="inlineStr">
        <is>
          <t>Recover GPS system</t>
        </is>
      </c>
      <c r="C33" s="15" t="inlineStr">
        <is>
          <t>REMOVE</t>
        </is>
      </c>
      <c r="D33" s="15" t="inlineStr">
        <is>
          <t>each</t>
        </is>
      </c>
      <c r="E33" s="16" t="n">
        <v>0</v>
      </c>
      <c r="F33" s="17" t="n">
        <v>3</v>
      </c>
      <c r="G33" s="18">
        <f>E33*F33</f>
        <v/>
      </c>
      <c r="H33" s="13" t="inlineStr">
        <is>
          <t>Statement: Table row under Equipment Notes Table: REMOVE 1.0x model GPS RECEIVER details INSTALLED IN 45RU PATHFINDER RACK GD/2/3 INSTALLED IN 45RU PATHFINDER RACK GD/2/3 with ID 48 on sector - -&gt; Rules Applied: Recover GPS system -&gt; Match Reason: Mapped deterministically by rule: Recover GPS system | Statement: EXISTING TELSTRA 45RU PATHFINDER RACK (1 OFF) TO BE REUSED TO HOST PROPOSED TELSTRA LTE700/NR850/LTE1800/NR/LTE2600/NR3600 RP6672 (1 OFF), DCDU (1 OFF), SLIDE OUT FIBRE MGMT TRAYS (2 OFF) &amp; GRU 05 01 GPS RECEIVER (1 OFF). EXISTING TELSTRA FIBRE PATCH PANEL (1 OFF), CABLE GUIDE (4 OFF) &amp; FIBRE MGMT TRAY (1 OFF) TO BE REUSED. EXISTING TELSTRA R6675 (1 OFF) TO BE RELOCATED FROM RT/2/2/9 TO RT/2/2/29. EXISTING TELSTRA RBS6202 (1 OFF), RUS 02 (B28B) (6 OFF), COMBINERS (3 OFF) &amp; GPS SPLITTER (1 OFF) TO BE DISCONNECTED AND MAKE AS SPARE. EXISTING TELSTRA GPS RECEIVER (1 OFF), R503 (2 OFF), BB5216 (1 OFF) &amp; BB6630 (1 OFF) TO BE RECOVERED. REFER RACK CONFIGURATION RAH0120 FY25_DRAN AUG AND SHEET E5 FOR DETAILS -&gt; Rules Applied: Recover GPS system -&gt; Match Reason: Mapped deterministically by rule: Recover GPS system | Statement: EXISTING TELSTRA GPS RECEIVER TO BE RECOVERED AND REPLACED WITH PROPOSED TELSTRA GRU 05 01 GPS RECEIVER (1 OFF) -&gt; Rules Applied: Recover GPS system -&gt; Match Reason: Mapped deterministically by rule: Recover GPS system</t>
        </is>
      </c>
    </row>
    <row r="34" ht="26" customHeight="1">
      <c r="A34" s="13" t="inlineStr">
        <is>
          <t>W12804</t>
        </is>
      </c>
      <c r="B34" s="14" t="inlineStr">
        <is>
          <t>GPS system</t>
        </is>
      </c>
      <c r="C34" s="15" t="inlineStr">
        <is>
          <t>INSTALL</t>
        </is>
      </c>
      <c r="D34" s="15" t="inlineStr">
        <is>
          <t>each</t>
        </is>
      </c>
      <c r="E34" s="16" t="n">
        <v>368</v>
      </c>
      <c r="F34" s="17" t="n">
        <v>1</v>
      </c>
      <c r="G34" s="18">
        <f>E34*F34</f>
        <v/>
      </c>
      <c r="H34" s="13" t="inlineStr">
        <is>
          <t>Statement: Table row under Equipment Notes Table: INSTALL 1.0x model GPS RECEIVER UNIT details ERICSSON GRU 05 01 RECEIVER NCD90189/1 ERICSSON GRU 05 01 RECEIVER NCD90189/1 with ID 50 on sector - -&gt; Rules Applied: GPS system -&gt; Match Reason: Mapped deterministically by rule: GPS system</t>
        </is>
      </c>
    </row>
    <row r="35" ht="26" customHeight="1">
      <c r="A35" s="7" t="inlineStr">
        <is>
          <t>W13175</t>
        </is>
      </c>
      <c r="B35" s="8" t="inlineStr">
        <is>
          <t>Colour match hardware/antennas</t>
        </is>
      </c>
      <c r="C35" s="9" t="inlineStr"/>
      <c r="D35" s="9" t="inlineStr">
        <is>
          <t>each</t>
        </is>
      </c>
      <c r="E35" s="10" t="n">
        <v>178.75</v>
      </c>
      <c r="F35" s="11" t="n">
        <v>0</v>
      </c>
      <c r="G35" s="12">
        <f>E35*F35</f>
        <v/>
      </c>
      <c r="H35" s="7" t="inlineStr"/>
    </row>
    <row r="36" ht="26" customHeight="1">
      <c r="A36" s="7" t="inlineStr"/>
      <c r="B36" s="8" t="inlineStr">
        <is>
          <t>External Combiner</t>
        </is>
      </c>
      <c r="C36" s="9" t="inlineStr"/>
      <c r="D36" s="9" t="inlineStr">
        <is>
          <t>each</t>
        </is>
      </c>
      <c r="E36" s="10" t="n">
        <v>422.5</v>
      </c>
      <c r="F36" s="11" t="n">
        <v>0</v>
      </c>
      <c r="G36" s="12">
        <f>E36*F36</f>
        <v/>
      </c>
      <c r="H36" s="7" t="inlineStr"/>
    </row>
    <row r="37" ht="26" customHeight="1">
      <c r="A37" s="13" t="inlineStr">
        <is>
          <t>W7893</t>
        </is>
      </c>
      <c r="B37" s="14" t="inlineStr">
        <is>
          <t>Tower Mounted Device (TMA, COM,FILTER)</t>
        </is>
      </c>
      <c r="C37" s="15" t="inlineStr">
        <is>
          <t>INSTALL</t>
        </is>
      </c>
      <c r="D37" s="15" t="inlineStr">
        <is>
          <t>each</t>
        </is>
      </c>
      <c r="E37" s="16" t="n">
        <v>353</v>
      </c>
      <c r="F37" s="17" t="n">
        <v>19</v>
      </c>
      <c r="G37" s="18">
        <f>E37*F37</f>
        <v/>
      </c>
      <c r="H37" s="13" t="inlineStr">
        <is>
          <t>Statement: Table row under Equipment Notes Table: INSTALL 1.0x model KAELUS COMBINER details DBC0086F1V1-1 INSTALLED WITHIN PATHFINDER RACK AT RT/2/2 DBC0086F1V1-1 INSTALLED WITHIN PATHFINDER RACK AT RT/2/2 with ID 38 on sector - -&gt; Rules Applied: Tower Mounted Device (TMA, COM, FILTER) -&gt; Match Reason: Mapped deterministically by rule: Tower Mounted Device (TMA, COM, FILTER) | Statement: Table row under Equipment Notes Table: INSTALL 3.0x model KAELUS KA-6035 FILTER details TO BE INSTALLED WITHIN PROPOSED DECON RACK AT RT/2/3 TO BE INSTALLED WITHIN PROPOSED DECON RACK AT RT/2/3 with ID 40 on sector - -&gt; Rules Applied: Tower Mounted Device (TMA, COM, FILTER) -&gt; Match Reason: Mapped deterministically by rule: Tower Mounted Device (TMA, COM, FILTER) | Statement: Table row under Equipment Notes Table: INSTALL 6.0x model KAELUS TOWER MOUNTED AMPLIFIER (LTE700/NR850) details KA-1031 KA-1031 with ID 42 on sector - -&gt; Rules Applied: Tower Mounted Device (TMA, COM, FILTER) -&gt; Match Reason: Mapped deterministically by rule: Tower Mounted Device (TMA, COM, FILTER) | Statement: E.L. 27.2m (±100mm) R.L. 109.65m AHD
C/L PROPOSED TELSTRA LTE700/NR850 TMA (1 OFF) -&gt; Rules Applied: Tower Mounted Device (TMA, COM, FILTER) -&gt; Match Reason: Mapped deterministically by rule: Tower Mounted Device (TMA, COM, FILTER) | Statement: E.L. 25.1m (±100mm) R.L. 107.85m AHD
C/L PROPOSED TELSTRA LTE700/NR850 TMA (2 OFF) -&gt; Rules Applied: Tower Mounted Device (TMA, COM, FILTER) -&gt; Match Reason: Mapped deterministically by rule: Tower Mounted Device (TMA, COM, FILTER) | Statement: E.L. 24.35m (±100mm) R.L. 107.10m AHD
C/L PROPOSED TELSTRA LTE700/NR850 TMA (2 OFF) -&gt; Rules Applied: Tower Mounted Device (TMA, COM, FILTER) -&gt; Match Reason: Mapped deterministically by rule: Tower Mounted Device (TMA, COM, FILTER) | Statement: E.L. 26.1m (±100mm) R.L. 108.55m AHD
C/L PROPOSED TELSTRA LTE700/NR850 TMA (1 OFF) -&gt; Rules Applied: Tower Mounted Device (TMA, COM, FILTER) -&gt; Match Reason: Mapped deterministically by rule: Tower Mounted Device (TMA, COM, FILTER) | Statement: PROPOSED TELSTRA KA-6035 QUAD FILTERS (3 OFF) -&gt; Rules Applied: Tower Mounted Device (TMA, COM, FILTER) -&gt; Match Reason: Mapped deterministically by rule: Tower Mounted Device (TMA, COM, FILTER)</t>
        </is>
      </c>
    </row>
    <row r="38" ht="26" customHeight="1">
      <c r="A38" s="7" t="inlineStr">
        <is>
          <t>R12513</t>
        </is>
      </c>
      <c r="B38" s="8" t="inlineStr">
        <is>
          <t>Tower Mounted Device (TMA, COM,FILTER)  Removal</t>
        </is>
      </c>
      <c r="C38" s="9" t="inlineStr"/>
      <c r="D38" s="9" t="inlineStr">
        <is>
          <t>each</t>
        </is>
      </c>
      <c r="E38" s="10" t="n">
        <v>292.5</v>
      </c>
      <c r="F38" s="11" t="n">
        <v>0</v>
      </c>
      <c r="G38" s="12">
        <f>E38*F38</f>
        <v/>
      </c>
      <c r="H38" s="7" t="inlineStr"/>
    </row>
    <row r="39" ht="26" customHeight="1">
      <c r="A39" s="7" t="inlineStr">
        <is>
          <t>W13178</t>
        </is>
      </c>
      <c r="B39" s="8" t="inlineStr">
        <is>
          <t>Tower Mounted Device (TMA, COM,FILTER)  Relocation</t>
        </is>
      </c>
      <c r="C39" s="9" t="inlineStr"/>
      <c r="D39" s="9" t="inlineStr">
        <is>
          <t>each</t>
        </is>
      </c>
      <c r="E39" s="10" t="n">
        <v>507</v>
      </c>
      <c r="F39" s="11" t="n">
        <v>0</v>
      </c>
      <c r="G39" s="12">
        <f>E39*F39</f>
        <v/>
      </c>
      <c r="H39" s="7" t="inlineStr"/>
    </row>
    <row r="40" ht="26" customHeight="1">
      <c r="A40" s="13" t="inlineStr">
        <is>
          <t>W12252</t>
        </is>
      </c>
      <c r="B40" s="14" t="inlineStr">
        <is>
          <t>Remote Radio Unit (RRU)</t>
        </is>
      </c>
      <c r="C40" s="15" t="inlineStr">
        <is>
          <t>INSTALL</t>
        </is>
      </c>
      <c r="D40" s="15" t="inlineStr">
        <is>
          <t>each</t>
        </is>
      </c>
      <c r="E40" s="16" t="n">
        <v>812.5</v>
      </c>
      <c r="F40" s="17" t="n">
        <v>16</v>
      </c>
      <c r="G40" s="18">
        <f>E40*F40</f>
        <v/>
      </c>
      <c r="H40" s="13" t="inlineStr">
        <is>
          <t>Statement: Table row under EQUIPMENT NOTES: INSTALL 1.0x model DECON RACK FOR RADIO 4490HP details 600 x 600 x 2200mm (W,D,H) 600 x 600 x 2200mm (W,D,H) with ID 2 on sector - -&gt; Rules Applied: Remote Radio Unit (RRU) -&gt; Match Reason: Mapped deterministically by rule: Remote Radio Unit (RRU) | Statement: Table row under Equipment Notes Table: INSTALL 3.0x model ERICSSON RADIO 4485 (B3/B1/B7) LTE1800/LTE2100/NR/LTE2600 details 533 x 398 x 145mm (W,D,H) NATURAL PRODUCT COLOUR 533 x 398 x 145mm (W,D,H) NATURAL PRODUCT COLOUR with ID 34 on sector - -&gt; Rules Applied: Remote Radio Unit (RRU) -&gt; Match Reason: Mapped deterministically by rule: Remote Radio Unit (RRU) | Statement: Table row under Equipment Notes Table: INSTALL 3.0x model ERICSSON RADIO 4490HP (B28/B26) (LTE700/LTE850/NR850) details 397 x 165 x 522mm (W,D,H) NATURAL COLOUR 397 x 165 x 522mm (W,D,H) NATURAL COLOUR with ID 35 on sector - -&gt; Rules Applied: Remote Radio Unit (RRU) -&gt; Match Reason: Mapped deterministically by rule: Remote Radio Unit (RRU) | Statement: Table row under Equipment Notes Table: INSTALL 1.0x model RUS02 B28 details INSTALLED IN RBS6202 RT/2/2 INSTALLED IN RBS6202 RT/2/2 with ID 36 on sector - -&gt; Rules Applied: Remote Radio Unit (RRU) -&gt; Match Reason: Mapped deterministically by rule: Remote Radio Unit (RRU) | Statement: Table row under MEMBER SCHEDULE (Right): INSTALL 1.0x model PROPOSED RRU MOUNT Ø76.1 x 5.9 THK. CHS - 3200mm LONG details   with ID RM1 on sector - -&gt; Rules Applied: Remote Radio Unit (RRU) -&gt; Match Reason: Mapped deterministically by rule: Remote Radio Unit (RRU) | Statement: PROPOSED TELSTRA LTE1800/LTE2100/NR/LTE2600 RADIO4485
(B3/B1/B7) (1 OFF) TO BE INSTALLED ON EXISTING RRU MOUNT -&gt; Rules Applied: Remote Radio Unit (RRU) -&gt; Match Reason: Mapped deterministically by rule: Remote Radio Unit (RRU) | Statement: E.L. 22.8m (±100mm) R.L. 105.25m AHD
C/L PROPOSED TELSTRA LTE1800/LTE2100/NR/LTE2600
RADIO4485 (B3/B1/B7) (1 OFF) -&gt; Rules Applied: Remote Radio Unit (RRU) -&gt; Match Reason: Mapped deterministically by rule: Remote Radio Unit (RRU) | Statement: PROPOSED
DECON RACK
FOR RRU4490 -&gt; Rules Applied: Remote Radio Unit (RRU) -&gt; Match Reason: Mapped deterministically by rule: Remote Radio Unit (RRU) | Statement: PROPOSED TELSTRA LTE700/NR850 RADIO 4490HP (B28/B26) (3 OFF) &amp; 4490 ADAPTOR SHELVES (3 OFF). ALONG WITH MOUNTING BRACKETS. REFER TO RACK CONFIGURATION RAH0120 FY25_DRAN AUG -&gt; Rules Applied: Remote Radio Unit (RRU) -&gt; Match Reason: Mapped deterministically by rule: Remote Radio Unit (RRU) | Statement: C/L PROPOSED RADIO4485 -&gt; Rules Applied: Remote Radio Unit (RRU) -&gt; Match Reason: Mapped deterministically by rule: Remote Radio Unit (RRU) | Statement: PROPOSED TELSTRA LTE1800/LTE2100/NR/
LTE2600 RADIO4485 (B3/B1/B7) (1 OFF) TO
BE INSTALLED ON PROPOSED RRU MOUNT -&gt; Rules Applied: Remote Radio Unit (RRU) -&gt; Match Reason: Mapped deterministically by rule: Remote Radio Unit (RRU)</t>
        </is>
      </c>
    </row>
    <row r="41" ht="26" customHeight="1">
      <c r="A41" s="13" t="inlineStr">
        <is>
          <t>R12513</t>
        </is>
      </c>
      <c r="B41" s="14" t="inlineStr">
        <is>
          <t>Remote Radio Unit (RRU) Removal</t>
        </is>
      </c>
      <c r="C41" s="15" t="inlineStr">
        <is>
          <t>REMOVE</t>
        </is>
      </c>
      <c r="D41" s="15" t="inlineStr">
        <is>
          <t>each</t>
        </is>
      </c>
      <c r="E41" s="16" t="n">
        <v>292.5</v>
      </c>
      <c r="F41" s="17" t="n">
        <v>14</v>
      </c>
      <c r="G41" s="18">
        <f>E41*F41</f>
        <v/>
      </c>
      <c r="H41" s="13" t="inlineStr">
        <is>
          <t>Statement: Table row under EQUIPMENT NOTES: REMOVE 3.0x model RRU INTERFACE JUNCTION BOX details 4P16F 4P16F with ID 30 on sector - -&gt; Rules Applied: Remote Radio Unit (RRU) Removal -&gt; Match Reason: Mapped deterministically by rule: Remote Radio Unit (RRU) Removal | Statement: Table row under EQUIPMENT NOTES: REMOVE 3.0x model ERICSSON RADIO 4443 (B1 B3) LTE2100 / LTE1800 details 335 x 284 x 380mm (W,D,H) NATURAL PRODUCT COLOUR 335 x 284 x 380mm (W,D,H) NATURAL PRODUCT COLOUR with ID 32 on sector - -&gt; Rules Applied: Remote Radio Unit (RRU) Removal -&gt; Match Reason: Mapped deterministically by rule: Remote Radio Unit (RRU) Removal | Statement: Table row under Equipment Notes Table: REMOVE 3.0x model ERICSSON RRUS-32 B7 (LTE2600) details 306 x 178 x 690mm (W,D,H) NATURAL PRODUCT COLOUR 306 x 178 x 690mm (W,D,H) NATURAL PRODUCT COLOUR with ID 33 on sector - -&gt; Rules Applied: Remote Radio Unit (RRU) Removal -&gt; Match Reason: Mapped deterministically by rule: Remote Radio Unit (RRU) Removal | Statement: Table row under Equipment Notes Table: REMOVE 3.0x model RUS02 B5 details INSTALLED IN RBS6202 RT/2/4 INSTALLED IN RBS6202 RT/2/4 with ID 37 on sector - -&gt; Rules Applied: Remote Radio Unit (RRU) Removal -&gt; Match Reason: Mapped deterministically by rule: Remote Radio Unit (RRU) Removal | Statement: EXISTING TELSTRA R503 (2 OFF) AND BB5216 (1 OFF) TO BE RECOVERED -&gt; Rules Applied: Remove Panel Antenna or tower mounted device, Recover GPS system, Tower Mounted Device Removal, Remote Radio Unit (RRU) Removal -&gt; Match Reason: Matched via similarity score 71.7%</t>
        </is>
      </c>
    </row>
    <row r="42" ht="26" customHeight="1">
      <c r="A42" s="7" t="inlineStr">
        <is>
          <t>W13178</t>
        </is>
      </c>
      <c r="B42" s="8" t="inlineStr">
        <is>
          <t>Remote Radio Unit (RRU) Relocation</t>
        </is>
      </c>
      <c r="C42" s="9" t="inlineStr"/>
      <c r="D42" s="9" t="inlineStr">
        <is>
          <t>each</t>
        </is>
      </c>
      <c r="E42" s="10" t="n">
        <v>507</v>
      </c>
      <c r="F42" s="11" t="n">
        <v>0</v>
      </c>
      <c r="G42" s="12">
        <f>E42*F42</f>
        <v/>
      </c>
      <c r="H42" s="7" t="inlineStr"/>
    </row>
    <row r="43" ht="26" customHeight="1">
      <c r="A43" s="7" t="inlineStr"/>
      <c r="B43" s="8" t="inlineStr">
        <is>
          <t>Reconfigure L1800 RRUs to "B"Config</t>
        </is>
      </c>
      <c r="C43" s="9" t="inlineStr"/>
      <c r="D43" s="9" t="inlineStr">
        <is>
          <t>site</t>
        </is>
      </c>
      <c r="E43" s="10" t="n">
        <v>416</v>
      </c>
      <c r="F43" s="11" t="n">
        <v>0</v>
      </c>
      <c r="G43" s="12">
        <f>E43*F43</f>
        <v/>
      </c>
      <c r="H43" s="7" t="inlineStr"/>
    </row>
    <row r="44" ht="26" customHeight="1">
      <c r="A44" s="7" t="inlineStr">
        <is>
          <t>W12253</t>
        </is>
      </c>
      <c r="B44" s="8" t="inlineStr">
        <is>
          <t>RRU x 1 - Extra over W12252 for each additional</t>
        </is>
      </c>
      <c r="C44" s="9" t="inlineStr"/>
      <c r="D44" s="9" t="inlineStr">
        <is>
          <t>each</t>
        </is>
      </c>
      <c r="E44" s="10" t="n">
        <v>525.85</v>
      </c>
      <c r="F44" s="11" t="n">
        <v>0</v>
      </c>
      <c r="G44" s="12">
        <f>E44*F44</f>
        <v/>
      </c>
      <c r="H44" s="7" t="inlineStr"/>
    </row>
    <row r="45" ht="26" customHeight="1">
      <c r="A45" s="7" t="inlineStr">
        <is>
          <t>W13174</t>
        </is>
      </c>
      <c r="B45" s="8" t="inlineStr">
        <is>
          <t>External RF tails up to 5m</t>
        </is>
      </c>
      <c r="C45" s="9" t="inlineStr"/>
      <c r="D45" s="9" t="inlineStr">
        <is>
          <t>each</t>
        </is>
      </c>
      <c r="E45" s="10" t="n">
        <v>103.35</v>
      </c>
      <c r="F45" s="11" t="n">
        <v>0</v>
      </c>
      <c r="G45" s="12">
        <f>E45*F45</f>
        <v/>
      </c>
      <c r="H45" s="7" t="inlineStr"/>
    </row>
    <row r="46" ht="26" customHeight="1">
      <c r="A46" s="7" t="inlineStr"/>
      <c r="B46" s="8" t="inlineStr">
        <is>
          <t>GPS antenna and receiver replacement</t>
        </is>
      </c>
      <c r="C46" s="9" t="inlineStr"/>
      <c r="D46" s="9" t="inlineStr">
        <is>
          <t>each</t>
        </is>
      </c>
      <c r="E46" s="10" t="n">
        <v>460</v>
      </c>
      <c r="F46" s="11" t="n">
        <v>0</v>
      </c>
      <c r="G46" s="12">
        <f>E46*F46</f>
        <v/>
      </c>
      <c r="H46" s="7" t="inlineStr"/>
    </row>
    <row r="47" ht="24" customHeight="1">
      <c r="A47" s="5" t="inlineStr">
        <is>
          <t>FEEDERS AND HYBRIDS - STRUCTURE (EX PLANT, INC TESTING, FIM)</t>
        </is>
      </c>
      <c r="B47" s="6" t="n"/>
      <c r="C47" s="6" t="n"/>
      <c r="D47" s="6" t="n"/>
      <c r="E47" s="6" t="n"/>
      <c r="F47" s="6" t="n"/>
      <c r="G47" s="6" t="n"/>
      <c r="H47" s="6" t="n"/>
    </row>
    <row r="48" ht="26" customHeight="1">
      <c r="A48" s="13" t="inlineStr">
        <is>
          <t>R12838</t>
        </is>
      </c>
      <c r="B48" s="14" t="inlineStr">
        <is>
          <t>Recover existing Hydridflex or feeder</t>
        </is>
      </c>
      <c r="C48" s="15" t="inlineStr">
        <is>
          <t>REMOVE, REPLACE</t>
        </is>
      </c>
      <c r="D48" s="15" t="inlineStr">
        <is>
          <t>each</t>
        </is>
      </c>
      <c r="E48" s="16" t="n">
        <v>9.945</v>
      </c>
      <c r="F48" s="17" t="n">
        <v>2</v>
      </c>
      <c r="G48" s="18">
        <f>E48*F48</f>
        <v/>
      </c>
      <c r="H48" s="13" t="inlineStr">
        <is>
          <t>Statement: Table row under EQUIPMENT NOTES: REMOVE 1.0x model 45RU PATHFINDER RACK details 530 x 530 x 2200mm (W,D,H) 530 x 530 x 2200mm (W,D,H) with ID 1 on sector - -&gt; Rules Applied: Remove Panel Antenna or tower mounted device, Recover GPS system, Tower Mounted Device Removal, Remote Radio Unit (RRU) Removal -&gt; Match Reason: Matched via similarity score 43.8% | Statement: PROPOSED TO REPLACE EXISTING PATHFINDER
RACK WITH DECON RGL-091 RACK (1 OFF) WITH
KA-6035 QUAD FILTERS (3 OFF), LTE700/NR850
RADIO 4490HP (B28/B26) (3 OFF), 4490 ADAPTOR
SHELVES (3 OFF) &amp; KEREM A100 PDP (1 OFF).
EXISTING RBS6202 (1 OFF) TO BE FULLY
RECOVERED. REFER TO RACK CONFIGURATION
RAH0120 FY25_DRAN GF &amp; SHEET E5 FOR DETAILS -&gt; Rules Applied: Remove Panel Antenna or tower mounted device, Recover GPS system, Tower Mounted Device Removal, Remote Radio Unit (RRU) Removal -&gt; Match Reason: Matched via similarity score 32.4%</t>
        </is>
      </c>
    </row>
    <row r="49" ht="40" customHeight="1">
      <c r="A49" s="7" t="inlineStr">
        <is>
          <t>W12831</t>
        </is>
      </c>
      <c r="B49" s="8" t="inlineStr">
        <is>
          <t>1 X Hybrid Cable On A 15m- 75m Structure (Up To 90m Per Cable) - First</t>
        </is>
      </c>
      <c r="C49" s="9" t="inlineStr"/>
      <c r="D49" s="9" t="inlineStr">
        <is>
          <t>each</t>
        </is>
      </c>
      <c r="E49" s="10" t="n">
        <v>8024.733020275685</v>
      </c>
      <c r="F49" s="11" t="n">
        <v>0</v>
      </c>
      <c r="G49" s="12">
        <f>E49*F49</f>
        <v/>
      </c>
      <c r="H49" s="7" t="inlineStr"/>
    </row>
    <row r="50" ht="54" customHeight="1">
      <c r="A50" s="7" t="inlineStr">
        <is>
          <t>W12834</t>
        </is>
      </c>
      <c r="B50" s="8" t="inlineStr">
        <is>
          <t>Additional Hybrid cable on a 15m- 75m Structure Extra Over W12831 for Each additional Hybrid cable x 1 (Up to 90m per cable)</t>
        </is>
      </c>
      <c r="C50" s="9" t="inlineStr"/>
      <c r="D50" s="9" t="inlineStr">
        <is>
          <t>each</t>
        </is>
      </c>
      <c r="E50" s="10" t="n">
        <v>3931.659381142847</v>
      </c>
      <c r="F50" s="11" t="n">
        <v>0</v>
      </c>
      <c r="G50" s="12">
        <f>E50*F50</f>
        <v/>
      </c>
      <c r="H50" s="7" t="inlineStr"/>
    </row>
    <row r="51" ht="40" customHeight="1">
      <c r="A51" s="7" t="inlineStr">
        <is>
          <t>W12835</t>
        </is>
      </c>
      <c r="B51" s="8" t="inlineStr">
        <is>
          <t>Additional Hybrid Cable Per Meter - Extra Over W12831 And W12834 For Additional Increment Per Lineal Metre</t>
        </is>
      </c>
      <c r="C51" s="9" t="inlineStr"/>
      <c r="D51" s="9" t="inlineStr">
        <is>
          <t>each</t>
        </is>
      </c>
      <c r="E51" s="10" t="n">
        <v>163.9899765015812</v>
      </c>
      <c r="F51" s="11" t="n">
        <v>0</v>
      </c>
      <c r="G51" s="12">
        <f>E51*F51</f>
        <v/>
      </c>
      <c r="H51" s="7" t="inlineStr"/>
    </row>
    <row r="52" ht="26" customHeight="1">
      <c r="A52" s="7" t="inlineStr">
        <is>
          <t>W12816</t>
        </is>
      </c>
      <c r="B52" s="8" t="inlineStr">
        <is>
          <t>Feeder - 15m  Structure - ½” Feeder Cable x 6 (three pair)</t>
        </is>
      </c>
      <c r="C52" s="9" t="inlineStr"/>
      <c r="D52" s="9" t="inlineStr">
        <is>
          <t>each</t>
        </is>
      </c>
      <c r="E52" s="10" t="n">
        <v>3503.5</v>
      </c>
      <c r="F52" s="11" t="n">
        <v>0</v>
      </c>
      <c r="G52" s="12">
        <f>E52*F52</f>
        <v/>
      </c>
      <c r="H52" s="7" t="inlineStr"/>
    </row>
    <row r="53" ht="26" customHeight="1">
      <c r="A53" s="7" t="inlineStr">
        <is>
          <t>W12818</t>
        </is>
      </c>
      <c r="B53" s="8" t="inlineStr">
        <is>
          <t>Feeder - 15m  Structure - ⅞ “ Feeder Cable x 2 (one pair)</t>
        </is>
      </c>
      <c r="C53" s="9" t="inlineStr"/>
      <c r="D53" s="9" t="inlineStr">
        <is>
          <t>each</t>
        </is>
      </c>
      <c r="E53" s="10" t="n">
        <v>2119</v>
      </c>
      <c r="F53" s="11" t="n">
        <v>0</v>
      </c>
      <c r="G53" s="12">
        <f>E53*F53</f>
        <v/>
      </c>
      <c r="H53" s="7" t="inlineStr"/>
    </row>
    <row r="54" ht="26" customHeight="1">
      <c r="A54" s="7" t="inlineStr">
        <is>
          <t>W12819</t>
        </is>
      </c>
      <c r="B54" s="8" t="inlineStr">
        <is>
          <t>Feeder - 15m  Structure - ⅞ “ Feeder Cable x 6 (three pair)</t>
        </is>
      </c>
      <c r="C54" s="9" t="inlineStr"/>
      <c r="D54" s="9" t="inlineStr">
        <is>
          <t>each</t>
        </is>
      </c>
      <c r="E54" s="10" t="n">
        <v>5414.5</v>
      </c>
      <c r="F54" s="11" t="n">
        <v>0</v>
      </c>
      <c r="G54" s="12">
        <f>E54*F54</f>
        <v/>
      </c>
      <c r="H54" s="7" t="inlineStr"/>
    </row>
    <row r="55" ht="26" customHeight="1">
      <c r="A55" s="7" t="inlineStr">
        <is>
          <t>W12816</t>
        </is>
      </c>
      <c r="B55" s="8" t="inlineStr">
        <is>
          <t>Feeder - 20m  Structure - ½” Feeder Cable x 6 (three pair)</t>
        </is>
      </c>
      <c r="C55" s="9" t="inlineStr"/>
      <c r="D55" s="9" t="inlineStr">
        <is>
          <t>each</t>
        </is>
      </c>
      <c r="E55" s="10" t="n">
        <v>3021.2</v>
      </c>
      <c r="F55" s="11" t="n">
        <v>0</v>
      </c>
      <c r="G55" s="12">
        <f>E55*F55</f>
        <v/>
      </c>
      <c r="H55" s="7" t="inlineStr"/>
    </row>
    <row r="56" ht="26" customHeight="1">
      <c r="A56" s="7" t="inlineStr">
        <is>
          <t>W12818</t>
        </is>
      </c>
      <c r="B56" s="8" t="inlineStr">
        <is>
          <t>Feeder - 20m  Structure - ⅞ “ Feeder Cable x 2 (one pair)</t>
        </is>
      </c>
      <c r="C56" s="9" t="inlineStr"/>
      <c r="D56" s="9" t="inlineStr">
        <is>
          <t>each</t>
        </is>
      </c>
      <c r="E56" s="10" t="n">
        <v>1729</v>
      </c>
      <c r="F56" s="11" t="n">
        <v>0</v>
      </c>
      <c r="G56" s="12">
        <f>E56*F56</f>
        <v/>
      </c>
      <c r="H56" s="7" t="inlineStr"/>
    </row>
    <row r="57" ht="26" customHeight="1">
      <c r="A57" s="7" t="inlineStr">
        <is>
          <t>W12819</t>
        </is>
      </c>
      <c r="B57" s="8" t="inlineStr">
        <is>
          <t>Feeder - 20m  Structure - ⅞ “ Feeder Cable x 6 (three pair)</t>
        </is>
      </c>
      <c r="C57" s="9" t="inlineStr"/>
      <c r="D57" s="9" t="inlineStr">
        <is>
          <t>each</t>
        </is>
      </c>
      <c r="E57" s="10" t="n">
        <v>3412.5</v>
      </c>
      <c r="F57" s="11" t="n">
        <v>0</v>
      </c>
      <c r="G57" s="12">
        <f>E57*F57</f>
        <v/>
      </c>
      <c r="H57" s="7" t="inlineStr"/>
    </row>
    <row r="58" ht="26" customHeight="1">
      <c r="A58" s="7" t="inlineStr">
        <is>
          <t>W12816</t>
        </is>
      </c>
      <c r="B58" s="8" t="inlineStr">
        <is>
          <t>Feeder - 25m  Structure - ½” Feeder Cable x 6 (three pair)</t>
        </is>
      </c>
      <c r="C58" s="9" t="inlineStr"/>
      <c r="D58" s="9" t="inlineStr">
        <is>
          <t>each</t>
        </is>
      </c>
      <c r="E58" s="10" t="n">
        <v>3294.2</v>
      </c>
      <c r="F58" s="11" t="n">
        <v>0</v>
      </c>
      <c r="G58" s="12">
        <f>E58*F58</f>
        <v/>
      </c>
      <c r="H58" s="7" t="inlineStr"/>
    </row>
    <row r="59" ht="26" customHeight="1">
      <c r="A59" s="7" t="inlineStr">
        <is>
          <t>W12818</t>
        </is>
      </c>
      <c r="B59" s="8" t="inlineStr">
        <is>
          <t>Feeder - 25m  Structure - ⅞ “ Feeder Cable x 2 (one pair)</t>
        </is>
      </c>
      <c r="C59" s="9" t="inlineStr"/>
      <c r="D59" s="9" t="inlineStr">
        <is>
          <t>each</t>
        </is>
      </c>
      <c r="E59" s="10" t="n">
        <v>1593.8</v>
      </c>
      <c r="F59" s="11" t="n">
        <v>0</v>
      </c>
      <c r="G59" s="12">
        <f>E59*F59</f>
        <v/>
      </c>
      <c r="H59" s="7" t="inlineStr"/>
    </row>
    <row r="60" ht="26" customHeight="1">
      <c r="A60" s="7" t="inlineStr">
        <is>
          <t>W12819</t>
        </is>
      </c>
      <c r="B60" s="8" t="inlineStr">
        <is>
          <t>Feeder - 25m  Structure - ⅞ “ Feeder Cable x 6 (three pair)</t>
        </is>
      </c>
      <c r="C60" s="9" t="inlineStr"/>
      <c r="D60" s="9" t="inlineStr">
        <is>
          <t>each</t>
        </is>
      </c>
      <c r="E60" s="10" t="n">
        <v>3640</v>
      </c>
      <c r="F60" s="11" t="n">
        <v>0</v>
      </c>
      <c r="G60" s="12">
        <f>E60*F60</f>
        <v/>
      </c>
      <c r="H60" s="7" t="inlineStr"/>
    </row>
    <row r="61" ht="26" customHeight="1">
      <c r="A61" s="7" t="inlineStr">
        <is>
          <t>W12818</t>
        </is>
      </c>
      <c r="B61" s="8" t="inlineStr">
        <is>
          <t>Feeder - 30m  Structure - ⅞ “ Feeder Cable x 2 (one pair)</t>
        </is>
      </c>
      <c r="C61" s="9" t="inlineStr"/>
      <c r="D61" s="9" t="inlineStr">
        <is>
          <t>each</t>
        </is>
      </c>
      <c r="E61" s="10" t="n">
        <v>1592.5</v>
      </c>
      <c r="F61" s="11" t="n">
        <v>0</v>
      </c>
      <c r="G61" s="12">
        <f>E61*F61</f>
        <v/>
      </c>
      <c r="H61" s="7" t="inlineStr"/>
    </row>
    <row r="62" ht="26" customHeight="1">
      <c r="A62" s="7" t="inlineStr">
        <is>
          <t>W12819</t>
        </is>
      </c>
      <c r="B62" s="8" t="inlineStr">
        <is>
          <t>Feeder - 30m  Structure - ⅞ “ Feeder Cable x 6 (three pair)</t>
        </is>
      </c>
      <c r="C62" s="9" t="inlineStr"/>
      <c r="D62" s="9" t="inlineStr">
        <is>
          <t>each</t>
        </is>
      </c>
      <c r="E62" s="10" t="n">
        <v>3867.5</v>
      </c>
      <c r="F62" s="11" t="n">
        <v>0</v>
      </c>
      <c r="G62" s="12">
        <f>E62*F62</f>
        <v/>
      </c>
      <c r="H62" s="7" t="inlineStr"/>
    </row>
    <row r="63" ht="26" customHeight="1">
      <c r="A63" s="7" t="inlineStr">
        <is>
          <t>W12821</t>
        </is>
      </c>
      <c r="B63" s="8" t="inlineStr">
        <is>
          <t>Feeder - 30m  Structure - 1¼” Feeder Cable x 2 (one pair)</t>
        </is>
      </c>
      <c r="C63" s="9" t="inlineStr"/>
      <c r="D63" s="9" t="inlineStr">
        <is>
          <t>each</t>
        </is>
      </c>
      <c r="E63" s="10" t="n">
        <v>1956.5</v>
      </c>
      <c r="F63" s="11" t="n">
        <v>0</v>
      </c>
      <c r="G63" s="12">
        <f>E63*F63</f>
        <v/>
      </c>
      <c r="H63" s="7" t="inlineStr"/>
    </row>
    <row r="64" ht="26" customHeight="1">
      <c r="A64" s="7" t="inlineStr">
        <is>
          <t>W12822</t>
        </is>
      </c>
      <c r="B64" s="8" t="inlineStr">
        <is>
          <t>Feeder - 30m  Structure - 1¼” Feeder Cable x 6 (three pair)</t>
        </is>
      </c>
      <c r="C64" s="9" t="inlineStr"/>
      <c r="D64" s="9" t="inlineStr">
        <is>
          <t>each</t>
        </is>
      </c>
      <c r="E64" s="10" t="n">
        <v>5050.5</v>
      </c>
      <c r="F64" s="11" t="n">
        <v>0</v>
      </c>
      <c r="G64" s="12">
        <f>E64*F64</f>
        <v/>
      </c>
      <c r="H64" s="7" t="inlineStr"/>
    </row>
    <row r="65" ht="26" customHeight="1">
      <c r="A65" s="7" t="inlineStr">
        <is>
          <t>W12824</t>
        </is>
      </c>
      <c r="B65" s="8" t="inlineStr">
        <is>
          <t>Feeder - 30m  Structure - 1⅝” Feeder Cable x 2 (one pair)</t>
        </is>
      </c>
      <c r="C65" s="9" t="inlineStr"/>
      <c r="D65" s="9" t="inlineStr">
        <is>
          <t>each</t>
        </is>
      </c>
      <c r="E65" s="10" t="n">
        <v>2229.5</v>
      </c>
      <c r="F65" s="11" t="n">
        <v>0</v>
      </c>
      <c r="G65" s="12">
        <f>E65*F65</f>
        <v/>
      </c>
      <c r="H65" s="7" t="inlineStr"/>
    </row>
    <row r="66" ht="26" customHeight="1">
      <c r="A66" s="7" t="inlineStr">
        <is>
          <t>W12825</t>
        </is>
      </c>
      <c r="B66" s="8" t="inlineStr">
        <is>
          <t>Feeder - 30m  Structure - 1⅝” Feeder Cable x 6 (three pair)</t>
        </is>
      </c>
      <c r="C66" s="9" t="inlineStr"/>
      <c r="D66" s="9" t="inlineStr">
        <is>
          <t>each</t>
        </is>
      </c>
      <c r="E66" s="10" t="n">
        <v>5414.5</v>
      </c>
      <c r="F66" s="11" t="n">
        <v>0</v>
      </c>
      <c r="G66" s="12">
        <f>E66*F66</f>
        <v/>
      </c>
      <c r="H66" s="7" t="inlineStr"/>
    </row>
    <row r="67" ht="26" customHeight="1">
      <c r="A67" s="7" t="inlineStr">
        <is>
          <t>W12818</t>
        </is>
      </c>
      <c r="B67" s="8" t="inlineStr">
        <is>
          <t>Feeder - 35m  Structure - ⅞ “ Feeder Cable x 2 (one pair)</t>
        </is>
      </c>
      <c r="C67" s="9" t="inlineStr"/>
      <c r="D67" s="9" t="inlineStr">
        <is>
          <t>each</t>
        </is>
      </c>
      <c r="E67" s="10" t="n">
        <v>1820</v>
      </c>
      <c r="F67" s="11" t="n">
        <v>0</v>
      </c>
      <c r="G67" s="12">
        <f>E67*F67</f>
        <v/>
      </c>
      <c r="H67" s="7" t="inlineStr"/>
    </row>
    <row r="68" ht="26" customHeight="1">
      <c r="A68" s="7" t="inlineStr">
        <is>
          <t>W12819</t>
        </is>
      </c>
      <c r="B68" s="8" t="inlineStr">
        <is>
          <t>Feeder - 35m  Structure - ⅞ “ Feeder Cable x 6 (three pair)</t>
        </is>
      </c>
      <c r="C68" s="9" t="inlineStr"/>
      <c r="D68" s="9" t="inlineStr">
        <is>
          <t>each</t>
        </is>
      </c>
      <c r="E68" s="10" t="n">
        <v>4095</v>
      </c>
      <c r="F68" s="11" t="n">
        <v>0</v>
      </c>
      <c r="G68" s="12">
        <f>E68*F68</f>
        <v/>
      </c>
      <c r="H68" s="7" t="inlineStr"/>
    </row>
    <row r="69" ht="26" customHeight="1">
      <c r="A69" s="7" t="inlineStr">
        <is>
          <t>W12821</t>
        </is>
      </c>
      <c r="B69" s="8" t="inlineStr">
        <is>
          <t>Feeder - 35m  Structure - 1¼” Feeder Cable x 2 (one pair)</t>
        </is>
      </c>
      <c r="C69" s="9" t="inlineStr"/>
      <c r="D69" s="9" t="inlineStr">
        <is>
          <t>each</t>
        </is>
      </c>
      <c r="E69" s="10" t="n">
        <v>2138.5</v>
      </c>
      <c r="F69" s="11" t="n">
        <v>0</v>
      </c>
      <c r="G69" s="12">
        <f>E69*F69</f>
        <v/>
      </c>
      <c r="H69" s="7" t="inlineStr"/>
    </row>
    <row r="70" ht="26" customHeight="1">
      <c r="A70" s="7" t="inlineStr">
        <is>
          <t>W12822</t>
        </is>
      </c>
      <c r="B70" s="8" t="inlineStr">
        <is>
          <t>Feeder - 35m  Structure - 1¼” Feeder Cable x 6 (three pair)</t>
        </is>
      </c>
      <c r="C70" s="9" t="inlineStr"/>
      <c r="D70" s="9" t="inlineStr">
        <is>
          <t>each</t>
        </is>
      </c>
      <c r="E70" s="10" t="n">
        <v>5414.5</v>
      </c>
      <c r="F70" s="11" t="n">
        <v>0</v>
      </c>
      <c r="G70" s="12">
        <f>E70*F70</f>
        <v/>
      </c>
      <c r="H70" s="7" t="inlineStr"/>
    </row>
    <row r="71" ht="26" customHeight="1">
      <c r="A71" s="7" t="inlineStr">
        <is>
          <t>W12824</t>
        </is>
      </c>
      <c r="B71" s="8" t="inlineStr">
        <is>
          <t>Feeder - 35m  Structure - 1⅝” Feeder Cable x 2 (one pair)</t>
        </is>
      </c>
      <c r="C71" s="9" t="inlineStr"/>
      <c r="D71" s="9" t="inlineStr">
        <is>
          <t>each</t>
        </is>
      </c>
      <c r="E71" s="10" t="n">
        <v>2684.5</v>
      </c>
      <c r="F71" s="11" t="n">
        <v>0</v>
      </c>
      <c r="G71" s="12">
        <f>E71*F71</f>
        <v/>
      </c>
      <c r="H71" s="7" t="inlineStr"/>
    </row>
    <row r="72" ht="26" customHeight="1">
      <c r="A72" s="7" t="inlineStr">
        <is>
          <t>W12825</t>
        </is>
      </c>
      <c r="B72" s="8" t="inlineStr">
        <is>
          <t>Feeder - 35m  Structure - 1⅝” Feeder Cable x 6 (three pair)</t>
        </is>
      </c>
      <c r="C72" s="9" t="inlineStr"/>
      <c r="D72" s="9" t="inlineStr">
        <is>
          <t>each</t>
        </is>
      </c>
      <c r="E72" s="10" t="n">
        <v>5869.5</v>
      </c>
      <c r="F72" s="11" t="n">
        <v>0</v>
      </c>
      <c r="G72" s="12">
        <f>E72*F72</f>
        <v/>
      </c>
      <c r="H72" s="7" t="inlineStr"/>
    </row>
    <row r="73" ht="26" customHeight="1">
      <c r="A73" s="7" t="inlineStr">
        <is>
          <t>W12818</t>
        </is>
      </c>
      <c r="B73" s="8" t="inlineStr">
        <is>
          <t>Feeder - 40m  Structure - ⅞ “ Feeder Cable x 2 (one pair)</t>
        </is>
      </c>
      <c r="C73" s="9" t="inlineStr"/>
      <c r="D73" s="9" t="inlineStr">
        <is>
          <t>each</t>
        </is>
      </c>
      <c r="E73" s="10" t="n">
        <v>2184</v>
      </c>
      <c r="F73" s="11" t="n">
        <v>0</v>
      </c>
      <c r="G73" s="12">
        <f>E73*F73</f>
        <v/>
      </c>
      <c r="H73" s="7" t="inlineStr"/>
    </row>
    <row r="74" ht="26" customHeight="1">
      <c r="A74" s="7" t="inlineStr">
        <is>
          <t>W12819</t>
        </is>
      </c>
      <c r="B74" s="8" t="inlineStr">
        <is>
          <t>Feeder - 40m  Structure - ⅞ “ Feeder Cable x 6 (three pair)</t>
        </is>
      </c>
      <c r="C74" s="9" t="inlineStr"/>
      <c r="D74" s="9" t="inlineStr">
        <is>
          <t>each</t>
        </is>
      </c>
      <c r="E74" s="10" t="n">
        <v>4368</v>
      </c>
      <c r="F74" s="11" t="n">
        <v>0</v>
      </c>
      <c r="G74" s="12">
        <f>E74*F74</f>
        <v/>
      </c>
      <c r="H74" s="7" t="inlineStr"/>
    </row>
    <row r="75" ht="26" customHeight="1">
      <c r="A75" s="7" t="inlineStr">
        <is>
          <t>W12821</t>
        </is>
      </c>
      <c r="B75" s="8" t="inlineStr">
        <is>
          <t>Feeder - 40m  Structure - 1¼” Feeder Cable x 2 (one pair)</t>
        </is>
      </c>
      <c r="C75" s="9" t="inlineStr"/>
      <c r="D75" s="9" t="inlineStr">
        <is>
          <t>each</t>
        </is>
      </c>
      <c r="E75" s="10" t="n">
        <v>2411.5</v>
      </c>
      <c r="F75" s="11" t="n">
        <v>0</v>
      </c>
      <c r="G75" s="12">
        <f>E75*F75</f>
        <v/>
      </c>
      <c r="H75" s="7" t="inlineStr"/>
    </row>
    <row r="76" ht="26" customHeight="1">
      <c r="A76" s="7" t="inlineStr">
        <is>
          <t>W12822</t>
        </is>
      </c>
      <c r="B76" s="8" t="inlineStr">
        <is>
          <t>Feeder - 40m  Structure - 1¼” Feeder Cable x 6 (three pair)</t>
        </is>
      </c>
      <c r="C76" s="9" t="inlineStr"/>
      <c r="D76" s="9" t="inlineStr">
        <is>
          <t>each</t>
        </is>
      </c>
      <c r="E76" s="10" t="n">
        <v>5778.5</v>
      </c>
      <c r="F76" s="11" t="n">
        <v>0</v>
      </c>
      <c r="G76" s="12">
        <f>E76*F76</f>
        <v/>
      </c>
      <c r="H76" s="7" t="inlineStr"/>
    </row>
    <row r="77" ht="26" customHeight="1">
      <c r="A77" s="7" t="inlineStr">
        <is>
          <t>W12824</t>
        </is>
      </c>
      <c r="B77" s="8" t="inlineStr">
        <is>
          <t>Feeder - 40m  Structure - 1⅝” Feeder Cable x 2 (one pair)</t>
        </is>
      </c>
      <c r="C77" s="9" t="inlineStr"/>
      <c r="D77" s="9" t="inlineStr">
        <is>
          <t>each</t>
        </is>
      </c>
      <c r="E77" s="10" t="n">
        <v>2957.5</v>
      </c>
      <c r="F77" s="11" t="n">
        <v>0</v>
      </c>
      <c r="G77" s="12">
        <f>E77*F77</f>
        <v/>
      </c>
      <c r="H77" s="7" t="inlineStr"/>
    </row>
    <row r="78" ht="26" customHeight="1">
      <c r="A78" s="7" t="inlineStr">
        <is>
          <t>W12825</t>
        </is>
      </c>
      <c r="B78" s="8" t="inlineStr">
        <is>
          <t>Feeder - 40m  Structure - 1⅝” Feeder Cable x 6 (three pair)</t>
        </is>
      </c>
      <c r="C78" s="9" t="inlineStr"/>
      <c r="D78" s="9" t="inlineStr">
        <is>
          <t>each</t>
        </is>
      </c>
      <c r="E78" s="10" t="n">
        <v>6552</v>
      </c>
      <c r="F78" s="11" t="n">
        <v>0</v>
      </c>
      <c r="G78" s="12">
        <f>E78*F78</f>
        <v/>
      </c>
      <c r="H78" s="7" t="inlineStr"/>
    </row>
    <row r="79" ht="26" customHeight="1">
      <c r="A79" s="7" t="inlineStr">
        <is>
          <t>W12818</t>
        </is>
      </c>
      <c r="B79" s="8" t="inlineStr">
        <is>
          <t>Feeder - 50m  Structure - ⅞” Feeder Cable x 2 (one pair)</t>
        </is>
      </c>
      <c r="C79" s="9" t="inlineStr"/>
      <c r="D79" s="9" t="inlineStr">
        <is>
          <t>each</t>
        </is>
      </c>
      <c r="E79" s="10" t="n">
        <v>2548</v>
      </c>
      <c r="F79" s="11" t="n">
        <v>0</v>
      </c>
      <c r="G79" s="12">
        <f>E79*F79</f>
        <v/>
      </c>
      <c r="H79" s="7" t="inlineStr"/>
    </row>
    <row r="80" ht="26" customHeight="1">
      <c r="A80" s="7" t="inlineStr">
        <is>
          <t>W12819</t>
        </is>
      </c>
      <c r="B80" s="8" t="inlineStr">
        <is>
          <t>Feeder - 50m  Structure - ⅞” Feeder Cable x 6 (three pair)</t>
        </is>
      </c>
      <c r="C80" s="9" t="inlineStr"/>
      <c r="D80" s="9" t="inlineStr">
        <is>
          <t>each</t>
        </is>
      </c>
      <c r="E80" s="10" t="n">
        <v>5096</v>
      </c>
      <c r="F80" s="11" t="n">
        <v>0</v>
      </c>
      <c r="G80" s="12">
        <f>E80*F80</f>
        <v/>
      </c>
      <c r="H80" s="7" t="inlineStr"/>
    </row>
    <row r="81" ht="26" customHeight="1">
      <c r="A81" s="7" t="inlineStr">
        <is>
          <t>W12821</t>
        </is>
      </c>
      <c r="B81" s="8" t="inlineStr">
        <is>
          <t>Feeder - 50m  Structure - 1¼” Feeder Cable x 2 (one pair)</t>
        </is>
      </c>
      <c r="C81" s="9" t="inlineStr"/>
      <c r="D81" s="9" t="inlineStr">
        <is>
          <t>each</t>
        </is>
      </c>
      <c r="E81" s="10" t="n">
        <v>2684.5</v>
      </c>
      <c r="F81" s="11" t="n">
        <v>0</v>
      </c>
      <c r="G81" s="12">
        <f>E81*F81</f>
        <v/>
      </c>
      <c r="H81" s="7" t="inlineStr"/>
    </row>
    <row r="82" ht="26" customHeight="1">
      <c r="A82" s="7" t="inlineStr">
        <is>
          <t>W12822</t>
        </is>
      </c>
      <c r="B82" s="8" t="inlineStr">
        <is>
          <t>Feeder - 50m  Structure - 1¼” Feeder Cable x 6 (three pair)</t>
        </is>
      </c>
      <c r="C82" s="9" t="inlineStr"/>
      <c r="D82" s="9" t="inlineStr">
        <is>
          <t>each</t>
        </is>
      </c>
      <c r="E82" s="10" t="n">
        <v>6324.5</v>
      </c>
      <c r="F82" s="11" t="n">
        <v>0</v>
      </c>
      <c r="G82" s="12">
        <f>E82*F82</f>
        <v/>
      </c>
      <c r="H82" s="7" t="inlineStr"/>
    </row>
    <row r="83" ht="26" customHeight="1">
      <c r="A83" s="7" t="inlineStr">
        <is>
          <t>W12824</t>
        </is>
      </c>
      <c r="B83" s="8" t="inlineStr">
        <is>
          <t>Feeder - 50m  Structure - 1⅝” Feeder Cable x 2 (one pair)</t>
        </is>
      </c>
      <c r="C83" s="9" t="inlineStr"/>
      <c r="D83" s="9" t="inlineStr">
        <is>
          <t>each</t>
        </is>
      </c>
      <c r="E83" s="10" t="n">
        <v>3321.5</v>
      </c>
      <c r="F83" s="11" t="n">
        <v>0</v>
      </c>
      <c r="G83" s="12">
        <f>E83*F83</f>
        <v/>
      </c>
      <c r="H83" s="7" t="inlineStr"/>
    </row>
    <row r="84" ht="26" customHeight="1">
      <c r="A84" s="7" t="inlineStr">
        <is>
          <t>W12825</t>
        </is>
      </c>
      <c r="B84" s="8" t="inlineStr">
        <is>
          <t>Feeder - 50m  Structure - 1⅝” Feeder Cable x 6 (three pair)</t>
        </is>
      </c>
      <c r="C84" s="9" t="inlineStr"/>
      <c r="D84" s="9" t="inlineStr">
        <is>
          <t>each</t>
        </is>
      </c>
      <c r="E84" s="10" t="n">
        <v>7189</v>
      </c>
      <c r="F84" s="11" t="n">
        <v>0</v>
      </c>
      <c r="G84" s="12">
        <f>E84*F84</f>
        <v/>
      </c>
      <c r="H84" s="7" t="inlineStr"/>
    </row>
    <row r="85" ht="26" customHeight="1">
      <c r="A85" s="7" t="inlineStr">
        <is>
          <t>W12818</t>
        </is>
      </c>
      <c r="B85" s="8" t="inlineStr">
        <is>
          <t>Feeder - 60m  Structure - ⅞” Feeder Cable x 2 (one pair)</t>
        </is>
      </c>
      <c r="C85" s="9" t="inlineStr"/>
      <c r="D85" s="9" t="inlineStr">
        <is>
          <t>each</t>
        </is>
      </c>
      <c r="E85" s="10" t="n">
        <v>4160</v>
      </c>
      <c r="F85" s="11" t="n">
        <v>0</v>
      </c>
      <c r="G85" s="12">
        <f>E85*F85</f>
        <v/>
      </c>
      <c r="H85" s="7" t="inlineStr"/>
    </row>
    <row r="86" ht="26" customHeight="1">
      <c r="A86" s="7" t="inlineStr">
        <is>
          <t>W12819</t>
        </is>
      </c>
      <c r="B86" s="8" t="inlineStr">
        <is>
          <t>Feeder - 60m  Structure - ⅞” Feeder Cable x 6 (three pair)</t>
        </is>
      </c>
      <c r="C86" s="9" t="inlineStr"/>
      <c r="D86" s="9" t="inlineStr">
        <is>
          <t>each</t>
        </is>
      </c>
      <c r="E86" s="10" t="n">
        <v>8840</v>
      </c>
      <c r="F86" s="11" t="n">
        <v>0</v>
      </c>
      <c r="G86" s="12">
        <f>E86*F86</f>
        <v/>
      </c>
      <c r="H86" s="7" t="inlineStr"/>
    </row>
    <row r="87" ht="26" customHeight="1">
      <c r="A87" s="7" t="inlineStr">
        <is>
          <t>W12821</t>
        </is>
      </c>
      <c r="B87" s="8" t="inlineStr">
        <is>
          <t>Feeder - 60m  Structure - 1¼” Feeder Cable x 2 (one pair)</t>
        </is>
      </c>
      <c r="C87" s="9" t="inlineStr"/>
      <c r="D87" s="9" t="inlineStr">
        <is>
          <t>each</t>
        </is>
      </c>
      <c r="E87" s="10" t="n">
        <v>4355</v>
      </c>
      <c r="F87" s="11" t="n">
        <v>0</v>
      </c>
      <c r="G87" s="12">
        <f>E87*F87</f>
        <v/>
      </c>
      <c r="H87" s="7" t="inlineStr"/>
    </row>
    <row r="88" ht="26" customHeight="1">
      <c r="A88" s="7" t="inlineStr">
        <is>
          <t>W12822</t>
        </is>
      </c>
      <c r="B88" s="8" t="inlineStr">
        <is>
          <t>Feeder - 60m  Structure - 1¼” Feeder Cable x 6 (three pair)</t>
        </is>
      </c>
      <c r="C88" s="9" t="inlineStr"/>
      <c r="D88" s="9" t="inlineStr">
        <is>
          <t>each</t>
        </is>
      </c>
      <c r="E88" s="10" t="n">
        <v>9828</v>
      </c>
      <c r="F88" s="11" t="n">
        <v>0</v>
      </c>
      <c r="G88" s="12">
        <f>E88*F88</f>
        <v/>
      </c>
      <c r="H88" s="7" t="inlineStr"/>
    </row>
    <row r="89" ht="26" customHeight="1">
      <c r="A89" s="7" t="inlineStr">
        <is>
          <t>W12824</t>
        </is>
      </c>
      <c r="B89" s="8" t="inlineStr">
        <is>
          <t>Feeder - 60m  Structure - 1⅝” Feeder Cable x 2 (one pair)</t>
        </is>
      </c>
      <c r="C89" s="9" t="inlineStr"/>
      <c r="D89" s="9" t="inlineStr">
        <is>
          <t>each</t>
        </is>
      </c>
      <c r="E89" s="10" t="n">
        <v>5135</v>
      </c>
      <c r="F89" s="11" t="n">
        <v>0</v>
      </c>
      <c r="G89" s="12">
        <f>E89*F89</f>
        <v/>
      </c>
      <c r="H89" s="7" t="inlineStr"/>
    </row>
    <row r="90" ht="26" customHeight="1">
      <c r="A90" s="7" t="inlineStr">
        <is>
          <t>W12825</t>
        </is>
      </c>
      <c r="B90" s="8" t="inlineStr">
        <is>
          <t>Feeder - 60m  Structure - 1⅝” Feeder Cable x 6 (three pair)</t>
        </is>
      </c>
      <c r="C90" s="9" t="inlineStr"/>
      <c r="D90" s="9" t="inlineStr">
        <is>
          <t>each</t>
        </is>
      </c>
      <c r="E90" s="10" t="n">
        <v>11245</v>
      </c>
      <c r="F90" s="11" t="n">
        <v>0</v>
      </c>
      <c r="G90" s="12">
        <f>E90*F90</f>
        <v/>
      </c>
      <c r="H90" s="7" t="inlineStr"/>
    </row>
    <row r="91" ht="26" customHeight="1">
      <c r="A91" s="7" t="inlineStr">
        <is>
          <t>W12821</t>
        </is>
      </c>
      <c r="B91" s="8" t="inlineStr">
        <is>
          <t>Feeder - 75m  Structure - 1¼” Feeder Cable x 2 (one pair)</t>
        </is>
      </c>
      <c r="C91" s="9" t="inlineStr"/>
      <c r="D91" s="9" t="inlineStr">
        <is>
          <t>each</t>
        </is>
      </c>
      <c r="E91" s="10" t="n">
        <v>9360</v>
      </c>
      <c r="F91" s="11" t="n">
        <v>0</v>
      </c>
      <c r="G91" s="12">
        <f>E91*F91</f>
        <v/>
      </c>
      <c r="H91" s="7" t="inlineStr"/>
    </row>
    <row r="92" ht="26" customHeight="1">
      <c r="A92" s="7" t="inlineStr">
        <is>
          <t>W12822</t>
        </is>
      </c>
      <c r="B92" s="8" t="inlineStr">
        <is>
          <t>Feeder - 75m  Structure - 1¼” Feeder Cable x 6 (three pair)</t>
        </is>
      </c>
      <c r="C92" s="9" t="inlineStr"/>
      <c r="D92" s="9" t="inlineStr">
        <is>
          <t>each</t>
        </is>
      </c>
      <c r="E92" s="10" t="n">
        <v>11440</v>
      </c>
      <c r="F92" s="11" t="n">
        <v>0</v>
      </c>
      <c r="G92" s="12">
        <f>E92*F92</f>
        <v/>
      </c>
      <c r="H92" s="7" t="inlineStr"/>
    </row>
    <row r="93" ht="26" customHeight="1">
      <c r="A93" s="7" t="inlineStr">
        <is>
          <t>W12824</t>
        </is>
      </c>
      <c r="B93" s="8" t="inlineStr">
        <is>
          <t>Feeder - 75m  Structure - 1⅝” Feeder Cable x 2 (one pair)</t>
        </is>
      </c>
      <c r="C93" s="9" t="inlineStr"/>
      <c r="D93" s="9" t="inlineStr">
        <is>
          <t>each</t>
        </is>
      </c>
      <c r="E93" s="10" t="n">
        <v>10205</v>
      </c>
      <c r="F93" s="11" t="n">
        <v>0</v>
      </c>
      <c r="G93" s="12">
        <f>E93*F93</f>
        <v/>
      </c>
      <c r="H93" s="7" t="inlineStr"/>
    </row>
    <row r="94" ht="26" customHeight="1">
      <c r="A94" s="7" t="inlineStr">
        <is>
          <t>W12825</t>
        </is>
      </c>
      <c r="B94" s="8" t="inlineStr">
        <is>
          <t>Feeder - 75m  Structure - 1⅝” Feeder Cable x 6 (three pair)</t>
        </is>
      </c>
      <c r="C94" s="9" t="inlineStr"/>
      <c r="D94" s="9" t="inlineStr">
        <is>
          <t>each</t>
        </is>
      </c>
      <c r="E94" s="10" t="n">
        <v>16380</v>
      </c>
      <c r="F94" s="11" t="n">
        <v>0</v>
      </c>
      <c r="G94" s="12">
        <f>E94*F94</f>
        <v/>
      </c>
      <c r="H94" s="7" t="inlineStr"/>
    </row>
    <row r="95" ht="26" customHeight="1">
      <c r="A95" s="7" t="inlineStr">
        <is>
          <t>W12821</t>
        </is>
      </c>
      <c r="B95" s="8" t="inlineStr">
        <is>
          <t>Feeder - 100m  Structure - 1¼” Feeder Cable x 2 (one pair)</t>
        </is>
      </c>
      <c r="C95" s="9" t="inlineStr"/>
      <c r="D95" s="9" t="inlineStr">
        <is>
          <t>each</t>
        </is>
      </c>
      <c r="E95" s="10" t="n">
        <v>11250.195762</v>
      </c>
      <c r="F95" s="11" t="n">
        <v>0</v>
      </c>
      <c r="G95" s="12">
        <f>E95*F95</f>
        <v/>
      </c>
      <c r="H95" s="7" t="inlineStr"/>
    </row>
    <row r="96" ht="26" customHeight="1">
      <c r="A96" s="7" t="inlineStr">
        <is>
          <t>W12822</t>
        </is>
      </c>
      <c r="B96" s="8" t="inlineStr">
        <is>
          <t>Feeder - 100m  Structure - 1¼” Feeder Cable x 6 (three pair)</t>
        </is>
      </c>
      <c r="C96" s="9" t="inlineStr"/>
      <c r="D96" s="9" t="inlineStr">
        <is>
          <t>each</t>
        </is>
      </c>
      <c r="E96" s="10" t="n">
        <v>20280</v>
      </c>
      <c r="F96" s="11" t="n">
        <v>0</v>
      </c>
      <c r="G96" s="12">
        <f>E96*F96</f>
        <v/>
      </c>
      <c r="H96" s="7" t="inlineStr"/>
    </row>
    <row r="97" ht="26" customHeight="1">
      <c r="A97" s="7" t="inlineStr">
        <is>
          <t>W12824</t>
        </is>
      </c>
      <c r="B97" s="8" t="inlineStr">
        <is>
          <t>Feeder - 100m  Structure - 1⅝” Feeder Cable x 2 (one pair)</t>
        </is>
      </c>
      <c r="C97" s="9" t="inlineStr"/>
      <c r="D97" s="9" t="inlineStr">
        <is>
          <t>each</t>
        </is>
      </c>
      <c r="E97" s="10" t="n">
        <v>11875.806716475</v>
      </c>
      <c r="F97" s="11" t="n">
        <v>0</v>
      </c>
      <c r="G97" s="12">
        <f>E97*F97</f>
        <v/>
      </c>
      <c r="H97" s="7" t="inlineStr"/>
    </row>
    <row r="98" ht="26" customHeight="1">
      <c r="A98" s="7" t="inlineStr">
        <is>
          <t>W12825</t>
        </is>
      </c>
      <c r="B98" s="8" t="inlineStr">
        <is>
          <t>Feeder - 100m  Structure - 1⅝” Feeder Cable x 6 (three pair)</t>
        </is>
      </c>
      <c r="C98" s="9" t="inlineStr"/>
      <c r="D98" s="9" t="inlineStr">
        <is>
          <t>each</t>
        </is>
      </c>
      <c r="E98" s="10" t="n">
        <v>24570</v>
      </c>
      <c r="F98" s="11" t="n">
        <v>0</v>
      </c>
      <c r="G98" s="12">
        <f>E98*F98</f>
        <v/>
      </c>
      <c r="H98" s="7" t="inlineStr"/>
    </row>
    <row r="99" ht="24" customHeight="1">
      <c r="A99" s="5" t="inlineStr">
        <is>
          <t>FEEDERS AND HYBRIDS - ROOFTOP (EX PLANT, INC TESTING, FIM)</t>
        </is>
      </c>
      <c r="B99" s="6" t="n"/>
      <c r="C99" s="6" t="n"/>
      <c r="D99" s="6" t="n"/>
      <c r="E99" s="6" t="n"/>
      <c r="F99" s="6" t="n"/>
      <c r="G99" s="6" t="n"/>
      <c r="H99" s="6" t="n"/>
    </row>
    <row r="100" ht="26" customHeight="1">
      <c r="A100" s="7" t="inlineStr">
        <is>
          <t>W13367</t>
        </is>
      </c>
      <c r="B100" s="8" t="inlineStr">
        <is>
          <t>Hybriflex x 1 - rooftop per lineal metre</t>
        </is>
      </c>
      <c r="C100" s="9" t="inlineStr"/>
      <c r="D100" s="9" t="inlineStr">
        <is>
          <t>each</t>
        </is>
      </c>
      <c r="E100" s="10" t="n">
        <v>55.38</v>
      </c>
      <c r="F100" s="11" t="n">
        <v>0</v>
      </c>
      <c r="G100" s="12">
        <f>E100*F100</f>
        <v/>
      </c>
      <c r="H100" s="7" t="inlineStr"/>
    </row>
    <row r="101" ht="26" customHeight="1">
      <c r="A101" s="7" t="inlineStr">
        <is>
          <t>W13368</t>
        </is>
      </c>
      <c r="B101" s="8" t="inlineStr">
        <is>
          <t>Hybriflex x 2 - rooftop per lineal metre</t>
        </is>
      </c>
      <c r="C101" s="9" t="inlineStr"/>
      <c r="D101" s="9" t="inlineStr">
        <is>
          <t>each</t>
        </is>
      </c>
      <c r="E101" s="10" t="n">
        <v>97.5</v>
      </c>
      <c r="F101" s="11" t="n">
        <v>0</v>
      </c>
      <c r="G101" s="12">
        <f>E101*F101</f>
        <v/>
      </c>
      <c r="H101" s="7" t="inlineStr"/>
    </row>
    <row r="102" ht="26" customHeight="1">
      <c r="A102" s="7" t="inlineStr">
        <is>
          <t>W13369</t>
        </is>
      </c>
      <c r="B102" s="8" t="inlineStr">
        <is>
          <t>Hybriflex x 3 - Rooftop per lineal metre</t>
        </is>
      </c>
      <c r="C102" s="9" t="inlineStr"/>
      <c r="D102" s="9" t="inlineStr">
        <is>
          <t>each</t>
        </is>
      </c>
      <c r="E102" s="10" t="n">
        <v>101.855</v>
      </c>
      <c r="F102" s="11" t="n">
        <v>0</v>
      </c>
      <c r="G102" s="12">
        <f>E102*F102</f>
        <v/>
      </c>
      <c r="H102" s="7" t="inlineStr"/>
    </row>
    <row r="103" ht="26" customHeight="1">
      <c r="A103" s="7" t="inlineStr">
        <is>
          <t>W12807</t>
        </is>
      </c>
      <c r="B103" s="8" t="inlineStr">
        <is>
          <t>Feeder - ½” x 2  building / rooftop</t>
        </is>
      </c>
      <c r="C103" s="9" t="inlineStr"/>
      <c r="D103" s="9" t="inlineStr">
        <is>
          <t>each</t>
        </is>
      </c>
      <c r="E103" s="10" t="n">
        <v>50.18000000000001</v>
      </c>
      <c r="F103" s="11" t="n">
        <v>0</v>
      </c>
      <c r="G103" s="12">
        <f>E103*F103</f>
        <v/>
      </c>
      <c r="H103" s="7" t="inlineStr"/>
    </row>
    <row r="104" ht="26" customHeight="1">
      <c r="A104" s="7" t="inlineStr">
        <is>
          <t>W12809</t>
        </is>
      </c>
      <c r="B104" s="8" t="inlineStr">
        <is>
          <t>Feeder - ⅞” x 2 building / rooftop</t>
        </is>
      </c>
      <c r="C104" s="9" t="inlineStr"/>
      <c r="D104" s="9" t="inlineStr">
        <is>
          <t>each</t>
        </is>
      </c>
      <c r="E104" s="10" t="n">
        <v>45.5</v>
      </c>
      <c r="F104" s="11" t="n">
        <v>0</v>
      </c>
      <c r="G104" s="12">
        <f>E104*F104</f>
        <v/>
      </c>
      <c r="H104" s="7" t="inlineStr"/>
    </row>
    <row r="105" ht="40" customHeight="1">
      <c r="A105" s="7" t="inlineStr">
        <is>
          <t>W12808</t>
        </is>
      </c>
      <c r="B105" s="8" t="inlineStr">
        <is>
          <t>Feeder – 1 x ⅞” Feeder cable On building / rooftop / or similar per lm</t>
        </is>
      </c>
      <c r="C105" s="9" t="inlineStr"/>
      <c r="D105" s="9" t="inlineStr">
        <is>
          <t>each</t>
        </is>
      </c>
      <c r="E105" s="10" t="n">
        <v>85</v>
      </c>
      <c r="F105" s="11" t="n">
        <v>0</v>
      </c>
      <c r="G105" s="12">
        <f>E105*F105</f>
        <v/>
      </c>
      <c r="H105" s="7" t="inlineStr"/>
    </row>
    <row r="106" ht="26" customHeight="1">
      <c r="A106" s="7" t="inlineStr">
        <is>
          <t>W12811</t>
        </is>
      </c>
      <c r="B106" s="8" t="inlineStr">
        <is>
          <t>Feeder - 1¼” x 2 building / rooftop</t>
        </is>
      </c>
      <c r="C106" s="9" t="inlineStr"/>
      <c r="D106" s="9" t="inlineStr">
        <is>
          <t>each</t>
        </is>
      </c>
      <c r="E106" s="10" t="n">
        <v>87.10000000000001</v>
      </c>
      <c r="F106" s="11" t="n">
        <v>0</v>
      </c>
      <c r="G106" s="12">
        <f>E106*F106</f>
        <v/>
      </c>
      <c r="H106" s="7" t="inlineStr"/>
    </row>
    <row r="107" ht="26" customHeight="1">
      <c r="A107" s="7" t="inlineStr">
        <is>
          <t>W12813</t>
        </is>
      </c>
      <c r="B107" s="8" t="inlineStr">
        <is>
          <t>Feeder - 1⅝” x 2  building / rooftop</t>
        </is>
      </c>
      <c r="C107" s="9" t="inlineStr"/>
      <c r="D107" s="9" t="inlineStr">
        <is>
          <t>each</t>
        </is>
      </c>
      <c r="E107" s="10" t="n">
        <v>97.5</v>
      </c>
      <c r="F107" s="11" t="n">
        <v>0</v>
      </c>
      <c r="G107" s="12">
        <f>E107*F107</f>
        <v/>
      </c>
      <c r="H107" s="7" t="inlineStr"/>
    </row>
    <row r="108" ht="40" customHeight="1">
      <c r="A108" s="7" t="inlineStr">
        <is>
          <t>R13370</t>
        </is>
      </c>
      <c r="B108" s="8" t="inlineStr">
        <is>
          <t>Recover Feeder or hybrid on a building / per lm rooftop / or similar during new installation</t>
        </is>
      </c>
      <c r="C108" s="9" t="inlineStr"/>
      <c r="D108" s="9" t="inlineStr">
        <is>
          <t>each</t>
        </is>
      </c>
      <c r="E108" s="10" t="n">
        <v>9</v>
      </c>
      <c r="F108" s="11" t="n">
        <v>0</v>
      </c>
      <c r="G108" s="12">
        <f>E108*F108</f>
        <v/>
      </c>
      <c r="H108" s="7" t="inlineStr"/>
    </row>
    <row r="109" ht="26" customHeight="1">
      <c r="A109" s="7" t="inlineStr">
        <is>
          <t>W12291</t>
        </is>
      </c>
      <c r="B109" s="8" t="inlineStr">
        <is>
          <t>RET Cable (AISG) x 1</t>
        </is>
      </c>
      <c r="C109" s="9" t="inlineStr"/>
      <c r="D109" s="9" t="inlineStr">
        <is>
          <t>each</t>
        </is>
      </c>
      <c r="E109" s="10" t="n">
        <v>168.48</v>
      </c>
      <c r="F109" s="11" t="n">
        <v>0</v>
      </c>
      <c r="G109" s="12">
        <f>E109*F109</f>
        <v/>
      </c>
      <c r="H109" s="7" t="inlineStr"/>
    </row>
    <row r="110" ht="40" customHeight="1">
      <c r="A110" s="7" t="inlineStr">
        <is>
          <t>W13371</t>
        </is>
      </c>
      <c r="B110" s="8" t="inlineStr">
        <is>
          <t>Hybrid Cable termination (On building / rooftop / or similar)</t>
        </is>
      </c>
      <c r="C110" s="9" t="inlineStr"/>
      <c r="D110" s="9" t="inlineStr">
        <is>
          <t>each</t>
        </is>
      </c>
      <c r="E110" s="10" t="n">
        <v>185.25</v>
      </c>
      <c r="F110" s="11" t="n">
        <v>0</v>
      </c>
      <c r="G110" s="12">
        <f>E110*F110</f>
        <v/>
      </c>
      <c r="H110" s="7" t="inlineStr"/>
    </row>
    <row r="111" ht="26" customHeight="1">
      <c r="A111" s="7" t="inlineStr">
        <is>
          <t>W13364</t>
        </is>
      </c>
      <c r="B111" s="8" t="inlineStr">
        <is>
          <t>Custom made tail fabrication over 5m &amp; testing</t>
        </is>
      </c>
      <c r="C111" s="9" t="inlineStr"/>
      <c r="D111" s="9" t="inlineStr">
        <is>
          <t>each</t>
        </is>
      </c>
      <c r="E111" s="10" t="n">
        <v>292.89</v>
      </c>
      <c r="F111" s="11" t="n">
        <v>0</v>
      </c>
      <c r="G111" s="12">
        <f>E111*F111</f>
        <v/>
      </c>
      <c r="H111" s="7" t="inlineStr"/>
    </row>
    <row r="112" ht="40" customHeight="1">
      <c r="A112" s="7" t="inlineStr">
        <is>
          <t>W13159</t>
        </is>
      </c>
      <c r="B112" s="8" t="inlineStr">
        <is>
          <t>Re-Connect existing RF Tail onto New Antenna during Antenna Swap out</t>
        </is>
      </c>
      <c r="C112" s="9" t="inlineStr"/>
      <c r="D112" s="9" t="inlineStr">
        <is>
          <t>each</t>
        </is>
      </c>
      <c r="E112" s="10" t="n">
        <v>71.76000000000001</v>
      </c>
      <c r="F112" s="11" t="n">
        <v>0</v>
      </c>
      <c r="G112" s="12">
        <f>E112*F112</f>
        <v/>
      </c>
      <c r="H112" s="7" t="inlineStr"/>
    </row>
    <row r="113" ht="26" customHeight="1">
      <c r="A113" s="7" t="inlineStr"/>
      <c r="B113" s="8" t="inlineStr">
        <is>
          <t>Testing and reporting on legacy hybrid feeders</t>
        </is>
      </c>
      <c r="C113" s="9" t="inlineStr"/>
      <c r="D113" s="9" t="inlineStr">
        <is>
          <t>each</t>
        </is>
      </c>
      <c r="E113" s="10" t="n">
        <v>117</v>
      </c>
      <c r="F113" s="11" t="n">
        <v>0</v>
      </c>
      <c r="G113" s="12">
        <f>E113*F113</f>
        <v/>
      </c>
      <c r="H113" s="7" t="inlineStr"/>
    </row>
    <row r="114" ht="40" customHeight="1">
      <c r="A114" s="7" t="inlineStr">
        <is>
          <t>W13375</t>
        </is>
      </c>
      <c r="B114" s="8" t="inlineStr">
        <is>
          <t>PIM/Sweep testing to reused existing spare feeder (per feeder)</t>
        </is>
      </c>
      <c r="C114" s="9" t="inlineStr"/>
      <c r="D114" s="9" t="inlineStr">
        <is>
          <t>each</t>
        </is>
      </c>
      <c r="E114" s="10" t="n">
        <v>97.5</v>
      </c>
      <c r="F114" s="11" t="n">
        <v>0</v>
      </c>
      <c r="G114" s="12">
        <f>E114*F114</f>
        <v/>
      </c>
      <c r="H114" s="7" t="inlineStr"/>
    </row>
    <row r="115" ht="24" customHeight="1">
      <c r="A115" s="5" t="inlineStr">
        <is>
          <t>ANTENNA MOUNTS AND HEADFRAME (EX PLANT, FIM)</t>
        </is>
      </c>
      <c r="B115" s="6" t="n"/>
      <c r="C115" s="6" t="n"/>
      <c r="D115" s="6" t="n"/>
      <c r="E115" s="6" t="n"/>
      <c r="F115" s="6" t="n"/>
      <c r="G115" s="6" t="n"/>
      <c r="H115" s="6" t="n"/>
    </row>
    <row r="116" ht="26" customHeight="1">
      <c r="A116" s="7" t="inlineStr">
        <is>
          <t>W13336</t>
        </is>
      </c>
      <c r="B116" s="8" t="inlineStr">
        <is>
          <t>TUFT or turret style Antenna Dual Stack headframe</t>
        </is>
      </c>
      <c r="C116" s="9" t="inlineStr"/>
      <c r="D116" s="9" t="inlineStr">
        <is>
          <t>each</t>
        </is>
      </c>
      <c r="E116" s="10" t="n">
        <v>2964</v>
      </c>
      <c r="F116" s="11" t="n">
        <v>0</v>
      </c>
      <c r="G116" s="12">
        <f>E116*F116</f>
        <v/>
      </c>
      <c r="H116" s="7" t="inlineStr"/>
    </row>
    <row r="117" ht="26" customHeight="1">
      <c r="A117" s="7" t="inlineStr">
        <is>
          <t>W13338</t>
        </is>
      </c>
      <c r="B117" s="8" t="inlineStr">
        <is>
          <t>TUFT or turret style Antenna Single Stack headframe</t>
        </is>
      </c>
      <c r="C117" s="9" t="inlineStr"/>
      <c r="D117" s="9" t="inlineStr">
        <is>
          <t>each</t>
        </is>
      </c>
      <c r="E117" s="10" t="n">
        <v>2184</v>
      </c>
      <c r="F117" s="11" t="n">
        <v>0</v>
      </c>
      <c r="G117" s="12">
        <f>E117*F117</f>
        <v/>
      </c>
      <c r="H117" s="7" t="inlineStr"/>
    </row>
    <row r="118" ht="26" customHeight="1">
      <c r="A118" s="7" t="inlineStr"/>
      <c r="B118" s="8" t="inlineStr">
        <is>
          <t>Additional TUFT or equivalent style Antenna Single Stack POD</t>
        </is>
      </c>
      <c r="C118" s="9" t="inlineStr"/>
      <c r="D118" s="9" t="inlineStr">
        <is>
          <t>each</t>
        </is>
      </c>
      <c r="E118" s="10" t="n">
        <v>2418</v>
      </c>
      <c r="F118" s="11" t="n">
        <v>0</v>
      </c>
      <c r="G118" s="12">
        <f>E118*F118</f>
        <v/>
      </c>
      <c r="H118" s="7" t="inlineStr"/>
    </row>
    <row r="119" ht="26" customHeight="1">
      <c r="A119" s="7" t="inlineStr">
        <is>
          <t>W13349</t>
        </is>
      </c>
      <c r="B119" s="8" t="inlineStr">
        <is>
          <t>Install new Antenna or RRU mounting pipe</t>
        </is>
      </c>
      <c r="C119" s="9" t="inlineStr"/>
      <c r="D119" s="9" t="inlineStr">
        <is>
          <t>each</t>
        </is>
      </c>
      <c r="E119" s="10" t="n">
        <v>375.7</v>
      </c>
      <c r="F119" s="11" t="n">
        <v>0</v>
      </c>
      <c r="G119" s="12">
        <f>E119*F119</f>
        <v/>
      </c>
      <c r="H119" s="7" t="inlineStr"/>
    </row>
    <row r="120" ht="26" customHeight="1">
      <c r="A120" s="7" t="inlineStr"/>
      <c r="B120" s="8" t="inlineStr">
        <is>
          <t>Install new face mounts on existing structure</t>
        </is>
      </c>
      <c r="C120" s="9" t="inlineStr"/>
      <c r="D120" s="9" t="inlineStr">
        <is>
          <t>each</t>
        </is>
      </c>
      <c r="E120" s="10" t="n">
        <v>2184</v>
      </c>
      <c r="F120" s="11" t="n">
        <v>0</v>
      </c>
      <c r="G120" s="12">
        <f>E120*F120</f>
        <v/>
      </c>
      <c r="H120" s="7" t="inlineStr"/>
    </row>
    <row r="121" ht="26" customHeight="1">
      <c r="A121" s="7" t="inlineStr">
        <is>
          <t>W13704</t>
        </is>
      </c>
      <c r="B121" s="8" t="inlineStr">
        <is>
          <t>Headframe Rotation</t>
        </is>
      </c>
      <c r="C121" s="9" t="inlineStr"/>
      <c r="D121" s="9" t="inlineStr">
        <is>
          <t>each</t>
        </is>
      </c>
      <c r="E121" s="10" t="n">
        <v>0</v>
      </c>
      <c r="F121" s="11" t="n">
        <v>0</v>
      </c>
      <c r="G121" s="12">
        <f>E121*F121</f>
        <v/>
      </c>
      <c r="H121" s="7" t="inlineStr"/>
    </row>
    <row r="122" ht="26" customHeight="1">
      <c r="A122" s="7" t="inlineStr">
        <is>
          <t>W11428</t>
        </is>
      </c>
      <c r="B122" s="8" t="inlineStr">
        <is>
          <t>Antenna Headframe on a New Structure (monopole)</t>
        </is>
      </c>
      <c r="C122" s="9" t="inlineStr"/>
      <c r="D122" s="9" t="inlineStr">
        <is>
          <t>each</t>
        </is>
      </c>
      <c r="E122" s="10" t="n">
        <v>3497</v>
      </c>
      <c r="F122" s="11" t="n">
        <v>0</v>
      </c>
      <c r="G122" s="12">
        <f>E122*F122</f>
        <v/>
      </c>
      <c r="H122" s="7" t="inlineStr"/>
    </row>
    <row r="123" ht="26" customHeight="1">
      <c r="A123" s="7" t="inlineStr">
        <is>
          <t>W8671</t>
        </is>
      </c>
      <c r="B123" s="8" t="inlineStr">
        <is>
          <t>Antenna Headframe on Existing Structure (monopole)</t>
        </is>
      </c>
      <c r="C123" s="9" t="inlineStr"/>
      <c r="D123" s="9" t="inlineStr">
        <is>
          <t>each</t>
        </is>
      </c>
      <c r="E123" s="10" t="n">
        <v>6688.5</v>
      </c>
      <c r="F123" s="11" t="n">
        <v>0</v>
      </c>
      <c r="G123" s="12">
        <f>E123*F123</f>
        <v/>
      </c>
      <c r="H123" s="7" t="inlineStr"/>
    </row>
    <row r="124" ht="26" customHeight="1">
      <c r="A124" s="13" t="inlineStr">
        <is>
          <t>R13160</t>
        </is>
      </c>
      <c r="B124" s="14" t="inlineStr">
        <is>
          <t>Removal and Recovery of Existing Single Turret Headframe</t>
        </is>
      </c>
      <c r="C124" s="15" t="inlineStr">
        <is>
          <t>REMOVE</t>
        </is>
      </c>
      <c r="D124" s="15" t="inlineStr">
        <is>
          <t>each</t>
        </is>
      </c>
      <c r="E124" s="16" t="n">
        <v>2938</v>
      </c>
      <c r="F124" s="17" t="n">
        <v>1</v>
      </c>
      <c r="G124" s="18">
        <f>E124*F124</f>
        <v/>
      </c>
      <c r="H124" s="13" t="inlineStr">
        <is>
          <t>Statement: EXISTING EMPTY
MOUNT TO BE
RECOVERED -&gt; Rules Applied: Remove Panel Antenna or tower mounted device, Recover GPS system, Tower Mounted Device Removal, Remote Radio Unit (RRU) Removal -&gt; Match Reason: Matched via similarity score 20.9%</t>
        </is>
      </c>
    </row>
    <row r="125" ht="40" customHeight="1">
      <c r="A125" s="13" t="inlineStr">
        <is>
          <t>R13161</t>
        </is>
      </c>
      <c r="B125" s="14" t="inlineStr">
        <is>
          <t>Removal and Recovery of Existing Dual Stacked Turret Headframe</t>
        </is>
      </c>
      <c r="C125" s="15" t="inlineStr">
        <is>
          <t>REMOVE</t>
        </is>
      </c>
      <c r="D125" s="15" t="inlineStr">
        <is>
          <t>each</t>
        </is>
      </c>
      <c r="E125" s="16" t="n">
        <v>3224</v>
      </c>
      <c r="F125" s="17" t="n">
        <v>1</v>
      </c>
      <c r="G125" s="18">
        <f>E125*F125</f>
        <v/>
      </c>
      <c r="H125" s="13" t="inlineStr">
        <is>
          <t>Statement: EXISTING Ø16 RODS NEED TO BE REMOVED (TYP.)
EXISTING HORIZONTAL SUPPORT MEMBER (TYP.) -&gt; Rules Applied: Remove Panel Antenna or tower mounted device, Recover GPS system, Tower Mounted Device Removal, Remote Radio Unit (RRU) Removal -&gt; Match Reason: Matched via similarity score 42.8%</t>
        </is>
      </c>
    </row>
    <row r="126" ht="54" customHeight="1">
      <c r="A126" s="7" t="inlineStr">
        <is>
          <t>W13351</t>
        </is>
      </c>
      <c r="B126" s="8" t="inlineStr">
        <is>
          <t>Collar Mount to Monopole comprising all necessary required banding and 3 x up to 3000 long pipes - Std Dwg 017866P133 (Sh6/7/11 or similar) (suitable for RRU, TMA, Antennas, etc)</t>
        </is>
      </c>
      <c r="C126" s="9" t="inlineStr"/>
      <c r="D126" s="9" t="inlineStr">
        <is>
          <t>each</t>
        </is>
      </c>
      <c r="E126" s="10" t="n">
        <v>3718</v>
      </c>
      <c r="F126" s="11" t="n">
        <v>0</v>
      </c>
      <c r="G126" s="12">
        <f>E126*F126</f>
        <v/>
      </c>
      <c r="H126" s="7" t="inlineStr"/>
    </row>
    <row r="127" ht="26" customHeight="1">
      <c r="A127" s="7" t="inlineStr">
        <is>
          <t>R13158</t>
        </is>
      </c>
      <c r="B127" s="8" t="inlineStr">
        <is>
          <t>Removal and Recovery of Existing headframe</t>
        </is>
      </c>
      <c r="C127" s="9" t="inlineStr"/>
      <c r="D127" s="9" t="inlineStr">
        <is>
          <t>each</t>
        </is>
      </c>
      <c r="E127" s="10" t="n">
        <v>3094</v>
      </c>
      <c r="F127" s="11" t="n">
        <v>0</v>
      </c>
      <c r="G127" s="12">
        <f>E127*F127</f>
        <v/>
      </c>
      <c r="H127" s="7" t="inlineStr"/>
    </row>
    <row r="128" ht="26" customHeight="1">
      <c r="A128" s="7" t="inlineStr">
        <is>
          <t>R13160</t>
        </is>
      </c>
      <c r="B128" s="8" t="inlineStr">
        <is>
          <t>Removal and Recovery of Existing Single Turret Headframe</t>
        </is>
      </c>
      <c r="C128" s="9" t="inlineStr"/>
      <c r="D128" s="9" t="inlineStr">
        <is>
          <t>each</t>
        </is>
      </c>
      <c r="E128" s="10" t="n">
        <v>4030</v>
      </c>
      <c r="F128" s="11" t="n">
        <v>0</v>
      </c>
      <c r="G128" s="12">
        <f>E128*F128</f>
        <v/>
      </c>
      <c r="H128" s="7" t="inlineStr"/>
    </row>
    <row r="129" ht="40" customHeight="1">
      <c r="A129" s="7" t="inlineStr">
        <is>
          <t>R13161</t>
        </is>
      </c>
      <c r="B129" s="8" t="inlineStr">
        <is>
          <t>Removal and Recovery of Existing Dual Stacked Turret Headframe</t>
        </is>
      </c>
      <c r="C129" s="9" t="inlineStr"/>
      <c r="D129" s="9" t="inlineStr">
        <is>
          <t>each</t>
        </is>
      </c>
      <c r="E129" s="10" t="n">
        <v>8320</v>
      </c>
      <c r="F129" s="11" t="n">
        <v>0</v>
      </c>
      <c r="G129" s="12">
        <f>E129*F129</f>
        <v/>
      </c>
      <c r="H129" s="7" t="inlineStr"/>
    </row>
    <row r="130" ht="26" customHeight="1">
      <c r="A130" s="7" t="inlineStr">
        <is>
          <t>W11537</t>
        </is>
      </c>
      <c r="B130" s="8" t="inlineStr">
        <is>
          <t>Antenna Mounting Bar Assembly</t>
        </is>
      </c>
      <c r="C130" s="9" t="inlineStr"/>
      <c r="D130" s="9" t="inlineStr">
        <is>
          <t>each</t>
        </is>
      </c>
      <c r="E130" s="10" t="n">
        <v>0</v>
      </c>
      <c r="F130" s="11" t="n">
        <v>0</v>
      </c>
      <c r="G130" s="12">
        <f>E130*F130</f>
        <v/>
      </c>
      <c r="H130" s="7" t="inlineStr"/>
    </row>
    <row r="131" ht="24" customHeight="1">
      <c r="A131" s="5" t="inlineStr">
        <is>
          <t>EQUIPMENT INSTALLED IN THE SHELTER</t>
        </is>
      </c>
      <c r="B131" s="6" t="n"/>
      <c r="C131" s="6" t="n"/>
      <c r="D131" s="6" t="n"/>
      <c r="E131" s="6" t="n"/>
      <c r="F131" s="6" t="n"/>
      <c r="G131" s="6" t="n"/>
      <c r="H131" s="6" t="n"/>
    </row>
    <row r="132" ht="26" customHeight="1">
      <c r="A132" s="7" t="inlineStr">
        <is>
          <t>W13706</t>
        </is>
      </c>
      <c r="B132" s="8" t="inlineStr">
        <is>
          <t>Install NR850 Rack</t>
        </is>
      </c>
      <c r="C132" s="9" t="inlineStr"/>
      <c r="D132" s="9" t="inlineStr">
        <is>
          <t>each</t>
        </is>
      </c>
      <c r="E132" s="10" t="n">
        <v>2548.65</v>
      </c>
      <c r="F132" s="11" t="n">
        <v>0</v>
      </c>
      <c r="G132" s="12">
        <f>E132*F132</f>
        <v/>
      </c>
      <c r="H132" s="7" t="inlineStr"/>
    </row>
    <row r="133" ht="26" customHeight="1">
      <c r="A133" s="7" t="inlineStr">
        <is>
          <t>W13980</t>
        </is>
      </c>
      <c r="B133" s="8" t="inlineStr">
        <is>
          <t>Install Low Band Radio 44XX Rack Fitout</t>
        </is>
      </c>
      <c r="C133" s="9" t="inlineStr"/>
      <c r="D133" s="9" t="inlineStr">
        <is>
          <t>each</t>
        </is>
      </c>
      <c r="E133" s="10" t="n">
        <v>1950</v>
      </c>
      <c r="F133" s="11" t="n">
        <v>0</v>
      </c>
      <c r="G133" s="12">
        <f>E133*F133</f>
        <v/>
      </c>
      <c r="H133" s="7" t="inlineStr"/>
    </row>
    <row r="134" ht="26" customHeight="1">
      <c r="A134" s="7" t="inlineStr">
        <is>
          <t>W13699</t>
        </is>
      </c>
      <c r="B134" s="8" t="inlineStr">
        <is>
          <t>Install ESC (Ericsson Site Controller)</t>
        </is>
      </c>
      <c r="C134" s="9" t="inlineStr"/>
      <c r="D134" s="9" t="inlineStr">
        <is>
          <t>per unit</t>
        </is>
      </c>
      <c r="E134" s="10" t="n">
        <v>871</v>
      </c>
      <c r="F134" s="11" t="n">
        <v>0</v>
      </c>
      <c r="G134" s="12">
        <f>E134*F134</f>
        <v/>
      </c>
      <c r="H134" s="7" t="inlineStr"/>
    </row>
    <row r="135" ht="26" customHeight="1">
      <c r="A135" s="13" t="inlineStr">
        <is>
          <t>R13701</t>
        </is>
      </c>
      <c r="B135" s="14" t="inlineStr">
        <is>
          <t>Recovery of Baseband Unit, DUS or R503 (or similar)</t>
        </is>
      </c>
      <c r="C135" s="15" t="inlineStr">
        <is>
          <t>REMOVE</t>
        </is>
      </c>
      <c r="D135" s="15" t="inlineStr">
        <is>
          <t>per unit</t>
        </is>
      </c>
      <c r="E135" s="16" t="n">
        <v>123.5</v>
      </c>
      <c r="F135" s="17" t="n">
        <v>4</v>
      </c>
      <c r="G135" s="18">
        <f>E135*F135</f>
        <v/>
      </c>
      <c r="H135" s="13" t="inlineStr">
        <is>
          <t>Statement: Table row under EQUIPMENT NOTES: REMOVE 1.0x model ERICSSON BB6630 details INSTALLED IN 45RU PATHFINDER RACK RT/2/2 INSTALLED IN 45RU PATHFINDER RACK RT/2/2 with ID 16 on sector - -&gt; Rules Applied: Remove Panel Antenna or tower mounted device, Recover GPS system, Tower Mounted Device Removal, Remote Radio Unit (RRU) Removal -&gt; Match Reason: Matched via similarity score 47.5% | Statement: Table row under EQUIPMENT NOTES: REMOVE 1.0x model BB5216 details INSTALLED IN RBS6202 INSTALLED IN RBS6202 with ID 20 on sector - -&gt; Rules Applied: Remove Panel Antenna or tower mounted device, Recover GPS system, Tower Mounted Device Removal, Remote Radio Unit (RRU) Removal -&gt; Match Reason: Matched via similarity score 42.2% | Statement: Table row under EQUIPMENT NOTES: REMOVE 1.0x model ERICSSON DUW 30 01 details INSTALLED IN RBS6601 INSTALLED IN RBS6601 with ID 22 on sector - -&gt; Rules Applied: Remove Panel Antenna or tower mounted device, Recover GPS system, Tower Mounted Device Removal, Remote Radio Unit (RRU) Removal -&gt; Match Reason: Matched via similarity score 50.6% | Statement: EXISTING TELSTRA BB6630 (1 OFF) TO BE RECOVERED -&gt; Rules Applied: Remove Panel Antenna or tower mounted device, Recover GPS system, Tower Mounted Device Removal, Remote Radio Unit (RRU) Removal -&gt; Match Reason: Matched via similarity score 42.2%</t>
        </is>
      </c>
    </row>
    <row r="136" ht="26" customHeight="1">
      <c r="A136" s="7" t="inlineStr">
        <is>
          <t>W12243</t>
        </is>
      </c>
      <c r="B136" s="8" t="inlineStr">
        <is>
          <t>Internal Surge Protection Device (SPD)</t>
        </is>
      </c>
      <c r="C136" s="9" t="inlineStr"/>
      <c r="D136" s="9" t="inlineStr">
        <is>
          <t>each</t>
        </is>
      </c>
      <c r="E136" s="10" t="n">
        <v>1047.15</v>
      </c>
      <c r="F136" s="11" t="n">
        <v>0</v>
      </c>
      <c r="G136" s="12">
        <f>E136*F136</f>
        <v/>
      </c>
      <c r="H136" s="7" t="inlineStr"/>
    </row>
    <row r="137" ht="26" customHeight="1">
      <c r="A137" s="7" t="inlineStr">
        <is>
          <t>W12840</t>
        </is>
      </c>
      <c r="B137" s="8" t="inlineStr">
        <is>
          <t>External Surge Protection Device (SPD)</t>
        </is>
      </c>
      <c r="C137" s="9" t="inlineStr"/>
      <c r="D137" s="9" t="inlineStr">
        <is>
          <t>each</t>
        </is>
      </c>
      <c r="E137" s="10" t="n">
        <v>1164.28</v>
      </c>
      <c r="F137" s="11" t="n">
        <v>0</v>
      </c>
      <c r="G137" s="12">
        <f>E137*F137</f>
        <v/>
      </c>
      <c r="H137" s="7" t="inlineStr"/>
    </row>
    <row r="138" ht="26" customHeight="1">
      <c r="A138" s="7" t="inlineStr">
        <is>
          <t>W13708</t>
        </is>
      </c>
      <c r="B138" s="8" t="inlineStr">
        <is>
          <t>ESC Data reconfiguration</t>
        </is>
      </c>
      <c r="C138" s="9" t="inlineStr"/>
      <c r="D138" s="9" t="inlineStr">
        <is>
          <t>per site</t>
        </is>
      </c>
      <c r="E138" s="10" t="n">
        <v>507</v>
      </c>
      <c r="F138" s="11" t="n">
        <v>0</v>
      </c>
      <c r="G138" s="12">
        <f>E138*F138</f>
        <v/>
      </c>
      <c r="H138" s="7" t="inlineStr"/>
    </row>
    <row r="139" ht="26" customHeight="1">
      <c r="A139" s="7" t="inlineStr">
        <is>
          <t>W13707</t>
        </is>
      </c>
      <c r="B139" s="8" t="inlineStr">
        <is>
          <t>Existing Base Band (or similar) - Script Reload</t>
        </is>
      </c>
      <c r="C139" s="9" t="inlineStr"/>
      <c r="D139" s="9" t="inlineStr">
        <is>
          <t>each</t>
        </is>
      </c>
      <c r="E139" s="10" t="n">
        <v>175.5</v>
      </c>
      <c r="F139" s="11" t="n">
        <v>0</v>
      </c>
      <c r="G139" s="12">
        <f>E139*F139</f>
        <v/>
      </c>
      <c r="H139" s="7" t="inlineStr"/>
    </row>
    <row r="140" ht="26" customHeight="1">
      <c r="A140" s="7" t="inlineStr">
        <is>
          <t>W13674</t>
        </is>
      </c>
      <c r="B140" s="8" t="inlineStr">
        <is>
          <t>Base Band Units (BB) 6630</t>
        </is>
      </c>
      <c r="C140" s="9" t="inlineStr"/>
      <c r="D140" s="9" t="inlineStr">
        <is>
          <t>each</t>
        </is>
      </c>
      <c r="E140" s="10" t="n">
        <v>422.5</v>
      </c>
      <c r="F140" s="11" t="n">
        <v>0</v>
      </c>
      <c r="G140" s="12">
        <f>E140*F140</f>
        <v/>
      </c>
      <c r="H140" s="7" t="inlineStr"/>
    </row>
    <row r="141" ht="26" customHeight="1">
      <c r="A141" s="7" t="inlineStr">
        <is>
          <t>R12839</t>
        </is>
      </c>
      <c r="B141" s="8" t="inlineStr">
        <is>
          <t>Recovery of Racks</t>
        </is>
      </c>
      <c r="C141" s="9" t="inlineStr"/>
      <c r="D141" s="9" t="inlineStr">
        <is>
          <t>each</t>
        </is>
      </c>
      <c r="E141" s="10" t="n">
        <v>515.45</v>
      </c>
      <c r="F141" s="11" t="n">
        <v>0</v>
      </c>
      <c r="G141" s="12">
        <f>E141*F141</f>
        <v/>
      </c>
      <c r="H141" s="7" t="inlineStr"/>
    </row>
    <row r="142" ht="26" customHeight="1">
      <c r="A142" s="7" t="inlineStr">
        <is>
          <t>W12553</t>
        </is>
      </c>
      <c r="B142" s="8" t="inlineStr">
        <is>
          <t>Node B (6202)</t>
        </is>
      </c>
      <c r="C142" s="9" t="inlineStr"/>
      <c r="D142" s="9" t="inlineStr">
        <is>
          <t>each</t>
        </is>
      </c>
      <c r="E142" s="10" t="n">
        <v>1677</v>
      </c>
      <c r="F142" s="11" t="n">
        <v>0</v>
      </c>
      <c r="G142" s="12">
        <f>E142*F142</f>
        <v/>
      </c>
      <c r="H142" s="7" t="inlineStr"/>
    </row>
    <row r="143" ht="26" customHeight="1">
      <c r="A143" s="7" t="inlineStr">
        <is>
          <t>W13393</t>
        </is>
      </c>
      <c r="B143" s="8" t="inlineStr">
        <is>
          <t>Install a Site Router or ERAN switch (Eg: R6675, or similar)</t>
        </is>
      </c>
      <c r="C143" s="9" t="inlineStr"/>
      <c r="D143" s="9" t="inlineStr">
        <is>
          <t>per unit</t>
        </is>
      </c>
      <c r="E143" s="10" t="n">
        <v>422.5</v>
      </c>
      <c r="F143" s="11" t="n">
        <v>0</v>
      </c>
      <c r="G143" s="12">
        <f>E143*F143</f>
        <v/>
      </c>
      <c r="H143" s="7" t="inlineStr"/>
    </row>
    <row r="144" ht="40" customHeight="1">
      <c r="A144" s="7" t="inlineStr">
        <is>
          <t>W13698</t>
        </is>
      </c>
      <c r="B144" s="8" t="inlineStr">
        <is>
          <t>Installation of DWDM module in new/existing DWDM chassis (18 channel (9ch Bidirectional))</t>
        </is>
      </c>
      <c r="C144" s="9" t="inlineStr"/>
      <c r="D144" s="9" t="inlineStr">
        <is>
          <t>per unit</t>
        </is>
      </c>
      <c r="E144" s="10" t="n">
        <v>468</v>
      </c>
      <c r="F144" s="11" t="n">
        <v>0</v>
      </c>
      <c r="G144" s="12">
        <f>E144*F144</f>
        <v/>
      </c>
      <c r="H144" s="7" t="inlineStr"/>
    </row>
    <row r="145" ht="40" customHeight="1">
      <c r="A145" s="7" t="inlineStr">
        <is>
          <t>W13312</t>
        </is>
      </c>
      <c r="B145" s="8" t="inlineStr">
        <is>
          <t>Installation of DWDM module in new/existing DWDM chassis (6 channel (3ch Bidirectional))</t>
        </is>
      </c>
      <c r="C145" s="9" t="inlineStr"/>
      <c r="D145" s="9" t="inlineStr">
        <is>
          <t>per unit</t>
        </is>
      </c>
      <c r="E145" s="10" t="n">
        <v>240.5</v>
      </c>
      <c r="F145" s="11" t="n">
        <v>0</v>
      </c>
      <c r="G145" s="12">
        <f>E145*F145</f>
        <v/>
      </c>
      <c r="H145" s="7" t="inlineStr"/>
    </row>
    <row r="146" ht="26" customHeight="1">
      <c r="A146" s="7" t="inlineStr"/>
      <c r="B146" s="8" t="inlineStr">
        <is>
          <t>Installation of DWDM chassis</t>
        </is>
      </c>
      <c r="C146" s="9" t="inlineStr"/>
      <c r="D146" s="9" t="inlineStr">
        <is>
          <t>per unit</t>
        </is>
      </c>
      <c r="E146" s="10" t="n">
        <v>117</v>
      </c>
      <c r="F146" s="11" t="n">
        <v>0</v>
      </c>
      <c r="G146" s="12">
        <f>E146*F146</f>
        <v/>
      </c>
      <c r="H146" s="7" t="inlineStr"/>
    </row>
    <row r="147" ht="26" customHeight="1">
      <c r="A147" s="7" t="inlineStr">
        <is>
          <t>W13700</t>
        </is>
      </c>
      <c r="B147" s="8" t="inlineStr">
        <is>
          <t>Relocate Site Cell Router (e.g. SIU)</t>
        </is>
      </c>
      <c r="C147" s="9" t="inlineStr"/>
      <c r="D147" s="9" t="inlineStr">
        <is>
          <t>per unit</t>
        </is>
      </c>
      <c r="E147" s="10" t="n">
        <v>188.5</v>
      </c>
      <c r="F147" s="11" t="n">
        <v>0</v>
      </c>
      <c r="G147" s="12">
        <f>E147*F147</f>
        <v/>
      </c>
      <c r="H147" s="7" t="inlineStr"/>
    </row>
    <row r="148" ht="26" customHeight="1">
      <c r="A148" s="7" t="inlineStr"/>
      <c r="B148" s="8" t="inlineStr">
        <is>
          <t>RBS6601 Recovery and return</t>
        </is>
      </c>
      <c r="C148" s="9" t="inlineStr"/>
      <c r="D148" s="9" t="inlineStr">
        <is>
          <t>per unit</t>
        </is>
      </c>
      <c r="E148" s="10" t="n">
        <v>162.5</v>
      </c>
      <c r="F148" s="11" t="n">
        <v>0</v>
      </c>
      <c r="G148" s="12">
        <f>E148*F148</f>
        <v/>
      </c>
      <c r="H148" s="7" t="inlineStr"/>
    </row>
    <row r="149" ht="26" customHeight="1">
      <c r="A149" s="7" t="inlineStr">
        <is>
          <t>W11785</t>
        </is>
      </c>
      <c r="B149" s="8" t="inlineStr">
        <is>
          <t>Install and commission DUS/DUW</t>
        </is>
      </c>
      <c r="C149" s="9" t="inlineStr"/>
      <c r="D149" s="9" t="inlineStr">
        <is>
          <t>per unit</t>
        </is>
      </c>
      <c r="E149" s="10" t="n">
        <v>247</v>
      </c>
      <c r="F149" s="11" t="n">
        <v>0</v>
      </c>
      <c r="G149" s="12">
        <f>E149*F149</f>
        <v/>
      </c>
      <c r="H149" s="7" t="inlineStr"/>
    </row>
    <row r="150" ht="26" customHeight="1">
      <c r="A150" s="7" t="inlineStr">
        <is>
          <t>W13702</t>
        </is>
      </c>
      <c r="B150" s="8" t="inlineStr">
        <is>
          <t>External Surge Protection Device (SPD) Augmentation Box</t>
        </is>
      </c>
      <c r="C150" s="9" t="inlineStr"/>
      <c r="D150" s="9" t="inlineStr">
        <is>
          <t>each</t>
        </is>
      </c>
      <c r="E150" s="10" t="n">
        <v>799.5</v>
      </c>
      <c r="F150" s="11" t="n">
        <v>0</v>
      </c>
      <c r="G150" s="12">
        <f>E150*F150</f>
        <v/>
      </c>
      <c r="H150" s="7" t="inlineStr"/>
    </row>
    <row r="151" ht="26" customHeight="1">
      <c r="A151" s="7" t="inlineStr">
        <is>
          <t>W13703</t>
        </is>
      </c>
      <c r="B151" s="8" t="inlineStr">
        <is>
          <t>Internal Surge Protection Device (SPD) Augmentation Box</t>
        </is>
      </c>
      <c r="C151" s="9" t="inlineStr"/>
      <c r="D151" s="9" t="inlineStr">
        <is>
          <t>each</t>
        </is>
      </c>
      <c r="E151" s="10" t="n">
        <v>721.5</v>
      </c>
      <c r="F151" s="11" t="n">
        <v>0</v>
      </c>
      <c r="G151" s="12">
        <f>E151*F151</f>
        <v/>
      </c>
      <c r="H151" s="7" t="inlineStr"/>
    </row>
    <row r="152" ht="26" customHeight="1">
      <c r="A152" s="7" t="inlineStr">
        <is>
          <t>W11781</t>
        </is>
      </c>
      <c r="B152" s="8" t="inlineStr">
        <is>
          <t>Miscellaneous Rack</t>
        </is>
      </c>
      <c r="C152" s="9" t="inlineStr"/>
      <c r="D152" s="9" t="inlineStr">
        <is>
          <t>each</t>
        </is>
      </c>
      <c r="E152" s="10" t="n">
        <v>550.16</v>
      </c>
      <c r="F152" s="11" t="n">
        <v>0</v>
      </c>
      <c r="G152" s="12">
        <f>E152*F152</f>
        <v/>
      </c>
      <c r="H152" s="7" t="inlineStr"/>
    </row>
    <row r="153" ht="26" customHeight="1">
      <c r="A153" s="7" t="inlineStr">
        <is>
          <t>W12239</t>
        </is>
      </c>
      <c r="B153" s="8" t="inlineStr">
        <is>
          <t>Radio Donor Rack</t>
        </is>
      </c>
      <c r="C153" s="9" t="inlineStr"/>
      <c r="D153" s="9" t="inlineStr">
        <is>
          <t>each</t>
        </is>
      </c>
      <c r="E153" s="10" t="n">
        <v>552.6</v>
      </c>
      <c r="F153" s="11" t="n">
        <v>0</v>
      </c>
      <c r="G153" s="12">
        <f>E153*F153</f>
        <v/>
      </c>
      <c r="H153" s="7" t="inlineStr"/>
    </row>
    <row r="154" ht="26" customHeight="1">
      <c r="A154" s="7" t="inlineStr">
        <is>
          <t>W13163</t>
        </is>
      </c>
      <c r="B154" s="8" t="inlineStr">
        <is>
          <t>One (1) new MTP patch panel in existing or new Rack</t>
        </is>
      </c>
      <c r="C154" s="9" t="inlineStr"/>
      <c r="D154" s="9" t="inlineStr">
        <is>
          <t>each</t>
        </is>
      </c>
      <c r="E154" s="10" t="n">
        <v>178.1</v>
      </c>
      <c r="F154" s="11" t="n">
        <v>0</v>
      </c>
      <c r="G154" s="12">
        <f>E154*F154</f>
        <v/>
      </c>
      <c r="H154" s="7" t="inlineStr"/>
    </row>
    <row r="155" ht="26" customHeight="1">
      <c r="A155" s="7" t="inlineStr">
        <is>
          <t>W13164</t>
        </is>
      </c>
      <c r="B155" s="8" t="inlineStr">
        <is>
          <t>Two (2) new MTP patch panels in existing or new Racks</t>
        </is>
      </c>
      <c r="C155" s="9" t="inlineStr"/>
      <c r="D155" s="9" t="inlineStr">
        <is>
          <t>each</t>
        </is>
      </c>
      <c r="E155" s="10" t="n">
        <v>366.6</v>
      </c>
      <c r="F155" s="11" t="n">
        <v>0</v>
      </c>
      <c r="G155" s="12">
        <f>E155*F155</f>
        <v/>
      </c>
      <c r="H155" s="7" t="inlineStr"/>
    </row>
    <row r="156" ht="26" customHeight="1">
      <c r="A156" s="7" t="inlineStr">
        <is>
          <t>W13165</t>
        </is>
      </c>
      <c r="B156" s="8" t="inlineStr">
        <is>
          <t>Relocate existing Card (RBS6601).</t>
        </is>
      </c>
      <c r="C156" s="9" t="inlineStr"/>
      <c r="D156" s="9" t="inlineStr">
        <is>
          <t>each</t>
        </is>
      </c>
      <c r="E156" s="10" t="n">
        <v>187.2</v>
      </c>
      <c r="F156" s="11" t="n">
        <v>0</v>
      </c>
      <c r="G156" s="12">
        <f>E156*F156</f>
        <v/>
      </c>
      <c r="H156" s="7" t="inlineStr"/>
    </row>
    <row r="157" ht="26" customHeight="1">
      <c r="A157" s="7" t="inlineStr">
        <is>
          <t>W13166</t>
        </is>
      </c>
      <c r="B157" s="8" t="inlineStr">
        <is>
          <t>Relocate existing SPD up to 10 metres</t>
        </is>
      </c>
      <c r="C157" s="9" t="inlineStr"/>
      <c r="D157" s="9" t="inlineStr">
        <is>
          <t>each</t>
        </is>
      </c>
      <c r="E157" s="10" t="n">
        <v>1267.5</v>
      </c>
      <c r="F157" s="11" t="n">
        <v>0</v>
      </c>
      <c r="G157" s="12">
        <f>E157*F157</f>
        <v/>
      </c>
      <c r="H157" s="7" t="inlineStr"/>
    </row>
    <row r="158" ht="26" customHeight="1">
      <c r="A158" s="7" t="inlineStr">
        <is>
          <t>R13167</t>
        </is>
      </c>
      <c r="B158" s="8" t="inlineStr">
        <is>
          <t>Replace SPD</t>
        </is>
      </c>
      <c r="C158" s="9" t="inlineStr"/>
      <c r="D158" s="9" t="inlineStr">
        <is>
          <t>each</t>
        </is>
      </c>
      <c r="E158" s="10" t="n">
        <v>1190.28</v>
      </c>
      <c r="F158" s="11" t="n">
        <v>0</v>
      </c>
      <c r="G158" s="12">
        <f>E158*F158</f>
        <v/>
      </c>
      <c r="H158" s="7" t="inlineStr"/>
    </row>
    <row r="159" ht="26" customHeight="1">
      <c r="A159" s="13" t="inlineStr">
        <is>
          <t>R13168</t>
        </is>
      </c>
      <c r="B159" s="14" t="inlineStr">
        <is>
          <t>Remove and Recover redundant SPD</t>
        </is>
      </c>
      <c r="C159" s="15" t="inlineStr">
        <is>
          <t>REMOVE</t>
        </is>
      </c>
      <c r="D159" s="15" t="inlineStr">
        <is>
          <t>each</t>
        </is>
      </c>
      <c r="E159" s="16" t="n">
        <v>256.75</v>
      </c>
      <c r="F159" s="17" t="n">
        <v>1</v>
      </c>
      <c r="G159" s="18">
        <f>E159*F159</f>
        <v/>
      </c>
      <c r="H159" s="13" t="inlineStr">
        <is>
          <t>Statement: EXISTING TELSTRA 12.2 WAY SPD BOX (1 OFF)
TO BE RECOVERED -&gt; Rules Applied: Remove Panel Antenna or tower mounted device, Recover GPS system, Tower Mounted Device Removal, Remote Radio Unit (RRU) Removal -&gt; Match Reason: Matched via similarity score 24.6%</t>
        </is>
      </c>
    </row>
    <row r="160" ht="26" customHeight="1">
      <c r="A160" s="13" t="inlineStr">
        <is>
          <t>R13169</t>
        </is>
      </c>
      <c r="B160" s="14" t="inlineStr">
        <is>
          <t>Removal and Recover internal Filter or Combiner</t>
        </is>
      </c>
      <c r="C160" s="15" t="inlineStr">
        <is>
          <t>REMOVE</t>
        </is>
      </c>
      <c r="D160" s="15" t="inlineStr">
        <is>
          <t>each</t>
        </is>
      </c>
      <c r="E160" s="16" t="n">
        <v>72.09999999999999</v>
      </c>
      <c r="F160" s="17" t="n">
        <v>1</v>
      </c>
      <c r="G160" s="18">
        <f>E160*F160</f>
        <v/>
      </c>
      <c r="H160" s="13" t="inlineStr">
        <is>
          <t>Statement: Table row under EQUIPMENT NOTES: REMOVE 1.0x model ELTEK INTERNAL SURGE PROTECTION DEVICE (12.2 WAY) details IN EQUIPMENT SHELTER AT RT/1/4 WALL MOUNTED IN EQUIPMENT SHELTER AT RT/1/4 WALL MOUNTED with ID 28 on sector - -&gt; Rules Applied: Remove Panel Antenna or tower mounted device, Recover GPS system, Tower Mounted Device Removal, Remote Radio Unit (RRU) Removal -&gt; Match Reason: Matched via similarity score 48.8%</t>
        </is>
      </c>
    </row>
    <row r="161" ht="26" customHeight="1">
      <c r="A161" s="7" t="inlineStr">
        <is>
          <t>W13170</t>
        </is>
      </c>
      <c r="B161" s="8" t="inlineStr">
        <is>
          <t>Relocate internal Filter or Combiner</t>
        </is>
      </c>
      <c r="C161" s="9" t="inlineStr"/>
      <c r="D161" s="9" t="inlineStr">
        <is>
          <t>each</t>
        </is>
      </c>
      <c r="E161" s="10" t="n">
        <v>97.5</v>
      </c>
      <c r="F161" s="11" t="n">
        <v>0</v>
      </c>
      <c r="G161" s="12">
        <f>E161*F161</f>
        <v/>
      </c>
      <c r="H161" s="7" t="inlineStr"/>
    </row>
    <row r="162" ht="26" customHeight="1">
      <c r="A162" s="7" t="inlineStr">
        <is>
          <t>W13171</t>
        </is>
      </c>
      <c r="B162" s="8" t="inlineStr">
        <is>
          <t>Relocate Equipment Rack</t>
        </is>
      </c>
      <c r="C162" s="9" t="inlineStr"/>
      <c r="D162" s="9" t="inlineStr">
        <is>
          <t>each</t>
        </is>
      </c>
      <c r="E162" s="10" t="n">
        <v>451.1</v>
      </c>
      <c r="F162" s="11" t="n">
        <v>0</v>
      </c>
      <c r="G162" s="12">
        <f>E162*F162</f>
        <v/>
      </c>
      <c r="H162" s="7" t="inlineStr"/>
    </row>
    <row r="163" ht="26" customHeight="1">
      <c r="A163" s="7" t="inlineStr">
        <is>
          <t>W13172</t>
        </is>
      </c>
      <c r="B163" s="8" t="inlineStr">
        <is>
          <t>Relocate 6000 series RBS</t>
        </is>
      </c>
      <c r="C163" s="9" t="inlineStr"/>
      <c r="D163" s="9" t="inlineStr">
        <is>
          <t>each</t>
        </is>
      </c>
      <c r="E163" s="10" t="n">
        <v>1417</v>
      </c>
      <c r="F163" s="11" t="n">
        <v>0</v>
      </c>
      <c r="G163" s="12">
        <f>E163*F163</f>
        <v/>
      </c>
      <c r="H163" s="7" t="inlineStr"/>
    </row>
    <row r="164" ht="26" customHeight="1">
      <c r="A164" s="7" t="inlineStr">
        <is>
          <t>W13173</t>
        </is>
      </c>
      <c r="B164" s="8" t="inlineStr">
        <is>
          <t>Relocate 3000 series RBS</t>
        </is>
      </c>
      <c r="C164" s="9" t="inlineStr"/>
      <c r="D164" s="9" t="inlineStr">
        <is>
          <t>each</t>
        </is>
      </c>
      <c r="E164" s="10" t="n">
        <v>2197</v>
      </c>
      <c r="F164" s="11" t="n">
        <v>0</v>
      </c>
      <c r="G164" s="12">
        <f>E164*F164</f>
        <v/>
      </c>
      <c r="H164" s="7" t="inlineStr"/>
    </row>
    <row r="165" ht="26" customHeight="1">
      <c r="A165" s="13" t="inlineStr"/>
      <c r="B165" s="14" t="inlineStr">
        <is>
          <t>CRAN site integration</t>
        </is>
      </c>
      <c r="C165" s="15" t="inlineStr">
        <is>
          <t>INSTALL</t>
        </is>
      </c>
      <c r="D165" s="15" t="inlineStr">
        <is>
          <t>site</t>
        </is>
      </c>
      <c r="E165" s="16" t="n">
        <v>1664</v>
      </c>
      <c r="F165" s="17" t="n">
        <v>1</v>
      </c>
      <c r="G165" s="18">
        <f>E165*F165</f>
        <v/>
      </c>
      <c r="H165" s="13" t="inlineStr">
        <is>
          <t>Statement: PROPOSED EQUIPMENT -&gt; Rules Applied: One panel Antenna, One 5G AAU - first, GPS system, Tower Mounted Device (TMA, COM, FILTER), Remote Radio Unit (RRU), External Combiner, One panel Antenna - extra over, One 5G AAU - extra over, RRU x 1 - Extra over W12252 -&gt; Match Reason: Matched via similarity score 35.0%</t>
        </is>
      </c>
    </row>
    <row r="166" ht="40" customHeight="1">
      <c r="A166" s="7" t="inlineStr">
        <is>
          <t>W11784</t>
        </is>
      </c>
      <c r="B166" s="8" t="inlineStr">
        <is>
          <t>Call / Data Test for 3G installation (first carrier per sector only)</t>
        </is>
      </c>
      <c r="C166" s="9" t="inlineStr"/>
      <c r="D166" s="9" t="inlineStr">
        <is>
          <t>per sector</t>
        </is>
      </c>
      <c r="E166" s="10" t="n">
        <v>104</v>
      </c>
      <c r="F166" s="11" t="n">
        <v>0</v>
      </c>
      <c r="G166" s="12">
        <f>E166*F166</f>
        <v/>
      </c>
      <c r="H166" s="7" t="inlineStr"/>
    </row>
    <row r="167" ht="40" customHeight="1">
      <c r="A167" s="7" t="inlineStr">
        <is>
          <t>W13399</t>
        </is>
      </c>
      <c r="B167" s="8" t="inlineStr">
        <is>
          <t>Call / Data Test for 3G installation (extra over first carrier per sector for each subsequent carrier per sector)</t>
        </is>
      </c>
      <c r="C167" s="9" t="inlineStr"/>
      <c r="D167" s="9" t="inlineStr">
        <is>
          <t>per sector / carrier</t>
        </is>
      </c>
      <c r="E167" s="10" t="n">
        <v>84.5</v>
      </c>
      <c r="F167" s="11" t="n">
        <v>0</v>
      </c>
      <c r="G167" s="12">
        <f>E167*F167</f>
        <v/>
      </c>
      <c r="H167" s="7" t="inlineStr"/>
    </row>
    <row r="168" ht="54" customHeight="1">
      <c r="A168" s="7" t="inlineStr">
        <is>
          <t>W13374</t>
        </is>
      </c>
      <c r="B168" s="8" t="inlineStr">
        <is>
          <t>Testing of 4G/5G Installation using Blackbird App including all required Call / Data Tests (first carrier per sector only)</t>
        </is>
      </c>
      <c r="C168" s="9" t="inlineStr"/>
      <c r="D168" s="9" t="inlineStr">
        <is>
          <t>per sector</t>
        </is>
      </c>
      <c r="E168" s="10" t="n">
        <v>110.5</v>
      </c>
      <c r="F168" s="11" t="n">
        <v>0</v>
      </c>
      <c r="G168" s="12">
        <f>E168*F168</f>
        <v/>
      </c>
      <c r="H168" s="7" t="inlineStr"/>
    </row>
    <row r="169" ht="54" customHeight="1">
      <c r="A169" s="7" t="inlineStr">
        <is>
          <t>W13400</t>
        </is>
      </c>
      <c r="B169" s="8" t="inlineStr">
        <is>
          <t>Testing of 4G/5G Installation using Blackbird App including all required Call / Data Tests (extra over first carrier per sector for each subsequent carrier per sector)</t>
        </is>
      </c>
      <c r="C169" s="9" t="inlineStr"/>
      <c r="D169" s="9" t="inlineStr">
        <is>
          <t>per sector / carrier</t>
        </is>
      </c>
      <c r="E169" s="10" t="n">
        <v>91</v>
      </c>
      <c r="F169" s="11" t="n">
        <v>0</v>
      </c>
      <c r="G169" s="12">
        <f>E169*F169</f>
        <v/>
      </c>
      <c r="H169" s="7" t="inlineStr"/>
    </row>
    <row r="170" ht="26" customHeight="1">
      <c r="A170" s="7" t="inlineStr">
        <is>
          <t>W13709</t>
        </is>
      </c>
      <c r="B170" s="8" t="inlineStr">
        <is>
          <t>Install Enatel 4kW DC/DC converter</t>
        </is>
      </c>
      <c r="C170" s="9" t="inlineStr"/>
      <c r="D170" s="9" t="inlineStr">
        <is>
          <t>each</t>
        </is>
      </c>
      <c r="E170" s="10" t="n">
        <v>1073.8</v>
      </c>
      <c r="F170" s="11" t="n">
        <v>0</v>
      </c>
      <c r="G170" s="12">
        <f>E170*F170</f>
        <v/>
      </c>
      <c r="H170" s="7" t="inlineStr"/>
    </row>
    <row r="171" ht="26" customHeight="1">
      <c r="A171" s="7" t="inlineStr">
        <is>
          <t>W13372</t>
        </is>
      </c>
      <c r="B171" s="8" t="inlineStr">
        <is>
          <t>DC Power - SP18 / SP22 / SP33 Power System</t>
        </is>
      </c>
      <c r="C171" s="9" t="inlineStr"/>
      <c r="D171" s="9" t="inlineStr">
        <is>
          <t>each</t>
        </is>
      </c>
      <c r="E171" s="10" t="n">
        <v>2405</v>
      </c>
      <c r="F171" s="11" t="n">
        <v>0</v>
      </c>
      <c r="G171" s="12">
        <f>E171*F171</f>
        <v/>
      </c>
      <c r="H171" s="7" t="inlineStr"/>
    </row>
    <row r="172" ht="26" customHeight="1">
      <c r="A172" s="7" t="inlineStr">
        <is>
          <t>W7527</t>
        </is>
      </c>
      <c r="B172" s="8" t="inlineStr">
        <is>
          <t>DC Power - 48V Power System (Flatpack 2 or equivalent)</t>
        </is>
      </c>
      <c r="C172" s="9" t="inlineStr"/>
      <c r="D172" s="9" t="inlineStr">
        <is>
          <t>each</t>
        </is>
      </c>
      <c r="E172" s="10" t="n">
        <v>1625</v>
      </c>
      <c r="F172" s="11" t="n">
        <v>0</v>
      </c>
      <c r="G172" s="12">
        <f>E172*F172</f>
        <v/>
      </c>
      <c r="H172" s="7" t="inlineStr"/>
    </row>
    <row r="173" ht="40" customHeight="1">
      <c r="A173" s="7" t="inlineStr">
        <is>
          <t>W7529</t>
        </is>
      </c>
      <c r="B173" s="8" t="inlineStr">
        <is>
          <t>DC Power - Additional Rectifier Module into existing power system</t>
        </is>
      </c>
      <c r="C173" s="9" t="inlineStr"/>
      <c r="D173" s="9" t="inlineStr">
        <is>
          <t>each</t>
        </is>
      </c>
      <c r="E173" s="10" t="n">
        <v>68.25</v>
      </c>
      <c r="F173" s="11" t="n">
        <v>0</v>
      </c>
      <c r="G173" s="12">
        <f>E173*F173</f>
        <v/>
      </c>
      <c r="H173" s="7" t="inlineStr"/>
    </row>
    <row r="174" ht="26" customHeight="1">
      <c r="A174" s="13" t="inlineStr">
        <is>
          <t>R12516</t>
        </is>
      </c>
      <c r="B174" s="14" t="inlineStr">
        <is>
          <t>DC Power – Remove and Recover existing battery string</t>
        </is>
      </c>
      <c r="C174" s="15" t="inlineStr">
        <is>
          <t>REMOVE</t>
        </is>
      </c>
      <c r="D174" s="15" t="inlineStr">
        <is>
          <t>each</t>
        </is>
      </c>
      <c r="E174" s="16" t="n">
        <v>189.15</v>
      </c>
      <c r="F174" s="17" t="n">
        <v>11</v>
      </c>
      <c r="G174" s="18">
        <f>E174*F174</f>
        <v/>
      </c>
      <c r="H174" s="13" t="inlineStr">
        <is>
          <t>Statement: EXISTING BOLLARDS WITH
CHAIN BARRIERS (4 OFF)
TO BE RECOVERED -&gt; Rules Applied: Remove Panel Antenna or tower mounted device, Recover GPS system, Tower Mounted Device Removal, Remote Radio Unit (RRU) Removal -&gt; Match Reason: Matched via similarity score 32.7% | Statement: EXISTING Ø16 RODS NEED TO BE REMOVED (TYP.)
EXISTING 150 C-PURLIN (3 OFF) -&gt; Rules Applied: Remove Panel Antenna or tower mounted device, Recover GPS system, Tower Mounted Device Removal, Remote Radio Unit (RRU) Removal -&gt; Match Reason: Matched via similarity score 43.2%</t>
        </is>
      </c>
    </row>
    <row r="175" ht="40" customHeight="1">
      <c r="A175" s="7" t="inlineStr">
        <is>
          <t>W7528</t>
        </is>
      </c>
      <c r="B175" s="8" t="inlineStr">
        <is>
          <t>DC Power - Battery String into existing rectifier / battery cabinet</t>
        </is>
      </c>
      <c r="C175" s="9" t="inlineStr"/>
      <c r="D175" s="9" t="inlineStr">
        <is>
          <t>each</t>
        </is>
      </c>
      <c r="E175" s="10" t="n">
        <v>216.45</v>
      </c>
      <c r="F175" s="11" t="n">
        <v>0</v>
      </c>
      <c r="G175" s="12">
        <f>E175*F175</f>
        <v/>
      </c>
      <c r="H175" s="7" t="inlineStr"/>
    </row>
    <row r="176" ht="26" customHeight="1">
      <c r="A176" s="7" t="inlineStr">
        <is>
          <t>W12802</t>
        </is>
      </c>
      <c r="B176" s="8" t="inlineStr">
        <is>
          <t>DC/DC Converter – in Existing Power System</t>
        </is>
      </c>
      <c r="C176" s="9" t="inlineStr"/>
      <c r="D176" s="9" t="inlineStr">
        <is>
          <t>each</t>
        </is>
      </c>
      <c r="E176" s="10" t="n">
        <v>1008.8</v>
      </c>
      <c r="F176" s="11" t="n">
        <v>0</v>
      </c>
      <c r="G176" s="12">
        <f>E176*F176</f>
        <v/>
      </c>
      <c r="H176" s="7" t="inlineStr"/>
    </row>
    <row r="177" ht="26" customHeight="1">
      <c r="A177" s="7" t="inlineStr">
        <is>
          <t>W12803</t>
        </is>
      </c>
      <c r="B177" s="8" t="inlineStr">
        <is>
          <t>DC/DC Converter – in Existing Power System</t>
        </is>
      </c>
      <c r="C177" s="9" t="inlineStr"/>
      <c r="D177" s="9" t="inlineStr">
        <is>
          <t>each</t>
        </is>
      </c>
      <c r="E177" s="10" t="n">
        <v>72.8</v>
      </c>
      <c r="F177" s="11" t="n">
        <v>0</v>
      </c>
      <c r="G177" s="12">
        <f>E177*F177</f>
        <v/>
      </c>
      <c r="H177" s="7" t="inlineStr"/>
    </row>
    <row r="178" ht="26" customHeight="1">
      <c r="A178" s="7" t="inlineStr">
        <is>
          <t>W13179</t>
        </is>
      </c>
      <c r="B178" s="8" t="inlineStr">
        <is>
          <t>Battery Expansion Rack</t>
        </is>
      </c>
      <c r="C178" s="9" t="inlineStr"/>
      <c r="D178" s="9" t="inlineStr">
        <is>
          <t>each</t>
        </is>
      </c>
      <c r="E178" s="10" t="n">
        <v>635.7</v>
      </c>
      <c r="F178" s="11" t="n">
        <v>0</v>
      </c>
      <c r="G178" s="12">
        <f>E178*F178</f>
        <v/>
      </c>
      <c r="H178" s="7" t="inlineStr"/>
    </row>
    <row r="179" ht="26" customHeight="1">
      <c r="A179" s="7" t="inlineStr">
        <is>
          <t>W13180</t>
        </is>
      </c>
      <c r="B179" s="8" t="inlineStr">
        <is>
          <t>Relocate an existing Power System within the existing Hut</t>
        </is>
      </c>
      <c r="C179" s="9" t="inlineStr"/>
      <c r="D179" s="9" t="inlineStr">
        <is>
          <t>each</t>
        </is>
      </c>
      <c r="E179" s="10" t="n">
        <v>2158</v>
      </c>
      <c r="F179" s="11" t="n">
        <v>0</v>
      </c>
      <c r="G179" s="12">
        <f>E179*F179</f>
        <v/>
      </c>
      <c r="H179" s="7" t="inlineStr"/>
    </row>
    <row r="180" ht="26" customHeight="1">
      <c r="A180" s="7" t="inlineStr">
        <is>
          <t>R12517</t>
        </is>
      </c>
      <c r="B180" s="8" t="inlineStr">
        <is>
          <t>Recover Power Racks</t>
        </is>
      </c>
      <c r="C180" s="9" t="inlineStr"/>
      <c r="D180" s="9" t="inlineStr">
        <is>
          <t>each</t>
        </is>
      </c>
      <c r="E180" s="10" t="n">
        <v>425.1</v>
      </c>
      <c r="F180" s="11" t="n">
        <v>0</v>
      </c>
      <c r="G180" s="12">
        <f>E180*F180</f>
        <v/>
      </c>
      <c r="H180" s="7" t="inlineStr"/>
    </row>
    <row r="181" ht="40" customHeight="1">
      <c r="A181" s="7" t="inlineStr">
        <is>
          <t>W13373</t>
        </is>
      </c>
      <c r="B181" s="8" t="inlineStr">
        <is>
          <t>Cut over existing DC power load from existing power cabinet and reconnect it to the new power rack</t>
        </is>
      </c>
      <c r="C181" s="9" t="inlineStr"/>
      <c r="D181" s="9" t="inlineStr">
        <is>
          <t>per unit</t>
        </is>
      </c>
      <c r="E181" s="10" t="n">
        <v>643.5</v>
      </c>
      <c r="F181" s="11" t="n">
        <v>0</v>
      </c>
      <c r="G181" s="12">
        <f>E181*F181</f>
        <v/>
      </c>
      <c r="H181" s="7" t="inlineStr"/>
    </row>
    <row r="182" ht="26" customHeight="1">
      <c r="A182" s="7" t="inlineStr">
        <is>
          <t>W13655</t>
        </is>
      </c>
      <c r="B182" s="8" t="inlineStr">
        <is>
          <t>Install Fully Equipped Rack for 4x4 low band design</t>
        </is>
      </c>
      <c r="C182" s="9" t="inlineStr"/>
      <c r="D182" s="9" t="inlineStr">
        <is>
          <t>each</t>
        </is>
      </c>
      <c r="E182" s="10" t="n">
        <v>2197</v>
      </c>
      <c r="F182" s="11" t="n">
        <v>0</v>
      </c>
      <c r="G182" s="12">
        <f>E182*F182</f>
        <v/>
      </c>
      <c r="H182" s="7" t="inlineStr"/>
    </row>
    <row r="183" ht="26" customHeight="1">
      <c r="A183" s="7" t="inlineStr"/>
      <c r="B183" s="8" t="inlineStr">
        <is>
          <t>AC power works</t>
        </is>
      </c>
      <c r="C183" s="9" t="inlineStr"/>
      <c r="D183" s="9" t="inlineStr">
        <is>
          <t>site</t>
        </is>
      </c>
      <c r="E183" s="10" t="n">
        <v>0</v>
      </c>
      <c r="F183" s="11" t="n">
        <v>0</v>
      </c>
      <c r="G183" s="12">
        <f>E183*F183</f>
        <v/>
      </c>
      <c r="H183" s="7" t="inlineStr"/>
    </row>
    <row r="184" ht="26" customHeight="1">
      <c r="A184" s="7" t="inlineStr"/>
      <c r="B184" s="8" t="inlineStr">
        <is>
          <t>RRU installed in shelter</t>
        </is>
      </c>
      <c r="C184" s="9" t="inlineStr"/>
      <c r="D184" s="9" t="inlineStr">
        <is>
          <t>each</t>
        </is>
      </c>
      <c r="E184" s="10" t="n">
        <v>475</v>
      </c>
      <c r="F184" s="11" t="n">
        <v>0</v>
      </c>
      <c r="G184" s="12">
        <f>E184*F184</f>
        <v/>
      </c>
      <c r="H184" s="7" t="inlineStr"/>
    </row>
    <row r="185" ht="26" customHeight="1">
      <c r="A185" s="7" t="inlineStr"/>
      <c r="B185" s="8" t="inlineStr">
        <is>
          <t>RRU recovery from shelter</t>
        </is>
      </c>
      <c r="C185" s="9" t="inlineStr"/>
      <c r="D185" s="9" t="inlineStr">
        <is>
          <t>each</t>
        </is>
      </c>
      <c r="E185" s="10" t="n">
        <v>225</v>
      </c>
      <c r="F185" s="11" t="n">
        <v>0</v>
      </c>
      <c r="G185" s="12">
        <f>E185*F185</f>
        <v/>
      </c>
      <c r="H185" s="7" t="inlineStr"/>
    </row>
    <row r="186" ht="26" customHeight="1">
      <c r="A186" s="7" t="inlineStr"/>
      <c r="B186" s="8" t="inlineStr">
        <is>
          <t>Quad band filter installed in shelter</t>
        </is>
      </c>
      <c r="C186" s="9" t="inlineStr"/>
      <c r="D186" s="9" t="inlineStr">
        <is>
          <t>each</t>
        </is>
      </c>
      <c r="E186" s="10" t="n">
        <v>375</v>
      </c>
      <c r="F186" s="11" t="n">
        <v>0</v>
      </c>
      <c r="G186" s="12">
        <f>E186*F186</f>
        <v/>
      </c>
      <c r="H186" s="7" t="inlineStr"/>
    </row>
    <row r="187" ht="26" customHeight="1">
      <c r="A187" s="7" t="inlineStr"/>
      <c r="B187" s="8" t="inlineStr">
        <is>
          <t>DCDU installation</t>
        </is>
      </c>
      <c r="C187" s="9" t="inlineStr"/>
      <c r="D187" s="9" t="inlineStr">
        <is>
          <t>each</t>
        </is>
      </c>
      <c r="E187" s="10" t="n">
        <v>175.6</v>
      </c>
      <c r="F187" s="11" t="n">
        <v>0</v>
      </c>
      <c r="G187" s="12">
        <f>E187*F187</f>
        <v/>
      </c>
      <c r="H187" s="7" t="inlineStr"/>
    </row>
    <row r="188" ht="26" customHeight="1">
      <c r="A188" s="7" t="inlineStr">
        <is>
          <t>W10376</t>
        </is>
      </c>
      <c r="B188" s="8" t="inlineStr">
        <is>
          <t>Install optical fibre patch panel</t>
        </is>
      </c>
      <c r="C188" s="9" t="inlineStr"/>
      <c r="D188" s="9" t="inlineStr">
        <is>
          <t>each</t>
        </is>
      </c>
      <c r="E188" s="10" t="n">
        <v>51</v>
      </c>
      <c r="F188" s="11" t="n">
        <v>0</v>
      </c>
      <c r="G188" s="12">
        <f>E188*F188</f>
        <v/>
      </c>
      <c r="H188" s="7" t="inlineStr"/>
    </row>
    <row r="189" ht="26" customHeight="1">
      <c r="A189" s="7" t="inlineStr"/>
      <c r="B189" s="8" t="inlineStr">
        <is>
          <t>Replace VAK00019 Filter</t>
        </is>
      </c>
      <c r="C189" s="9" t="inlineStr"/>
      <c r="D189" s="9" t="inlineStr">
        <is>
          <t>each</t>
        </is>
      </c>
      <c r="E189" s="10" t="n">
        <v>115</v>
      </c>
      <c r="F189" s="11" t="n">
        <v>0</v>
      </c>
      <c r="G189" s="12">
        <f>E189*F189</f>
        <v/>
      </c>
      <c r="H189" s="7" t="inlineStr"/>
    </row>
    <row r="190" ht="26" customHeight="1">
      <c r="A190" s="7" t="inlineStr"/>
      <c r="B190" s="8" t="inlineStr">
        <is>
          <t>Lemnic L600 Air conditioner</t>
        </is>
      </c>
      <c r="C190" s="9" t="inlineStr"/>
      <c r="D190" s="9" t="inlineStr">
        <is>
          <t>each</t>
        </is>
      </c>
      <c r="E190" s="10" t="n">
        <v>0</v>
      </c>
      <c r="F190" s="11" t="n">
        <v>0</v>
      </c>
      <c r="G190" s="12">
        <f>E190*F190</f>
        <v/>
      </c>
      <c r="H190" s="7" t="inlineStr"/>
    </row>
    <row r="191" ht="26" customHeight="1">
      <c r="A191" s="7" t="inlineStr"/>
      <c r="B191" s="8" t="inlineStr">
        <is>
          <t>Packaging of Recovered Material</t>
        </is>
      </c>
      <c r="C191" s="9" t="inlineStr"/>
      <c r="D191" s="9" t="inlineStr">
        <is>
          <t>each</t>
        </is>
      </c>
      <c r="E191" s="10" t="n">
        <v>0</v>
      </c>
      <c r="F191" s="11" t="n">
        <v>0</v>
      </c>
      <c r="G191" s="12">
        <f>E191*F191</f>
        <v/>
      </c>
      <c r="H191" s="7" t="inlineStr"/>
    </row>
    <row r="192" ht="26" customHeight="1">
      <c r="A192" s="7" t="inlineStr">
        <is>
          <t>R13659</t>
        </is>
      </c>
      <c r="B192" s="8" t="inlineStr">
        <is>
          <t>Packaging recovered RRU</t>
        </is>
      </c>
      <c r="C192" s="9" t="inlineStr"/>
      <c r="D192" s="9" t="inlineStr">
        <is>
          <t>each</t>
        </is>
      </c>
      <c r="E192" s="10" t="n">
        <v>88.5</v>
      </c>
      <c r="F192" s="11" t="n">
        <v>0</v>
      </c>
      <c r="G192" s="12">
        <f>E192*F192</f>
        <v/>
      </c>
      <c r="H192" s="7" t="inlineStr"/>
    </row>
    <row r="193" ht="26" customHeight="1">
      <c r="A193" s="7" t="inlineStr">
        <is>
          <t>R13660</t>
        </is>
      </c>
      <c r="B193" s="8" t="inlineStr">
        <is>
          <t>Packaging recovered Filter/Combiners</t>
        </is>
      </c>
      <c r="C193" s="9" t="inlineStr"/>
      <c r="D193" s="9" t="inlineStr">
        <is>
          <t>each</t>
        </is>
      </c>
      <c r="E193" s="10" t="n">
        <v>80.59999999999999</v>
      </c>
      <c r="F193" s="11" t="n">
        <v>0</v>
      </c>
      <c r="G193" s="12">
        <f>E193*F193</f>
        <v/>
      </c>
      <c r="H193" s="7" t="inlineStr"/>
    </row>
    <row r="194" ht="26" customHeight="1">
      <c r="A194" s="7" t="inlineStr">
        <is>
          <t>R13661</t>
        </is>
      </c>
      <c r="B194" s="8" t="inlineStr">
        <is>
          <t>Packaging recovered RBS6202</t>
        </is>
      </c>
      <c r="C194" s="9" t="inlineStr"/>
      <c r="D194" s="9" t="inlineStr">
        <is>
          <t>each</t>
        </is>
      </c>
      <c r="E194" s="10" t="n">
        <v>85.5</v>
      </c>
      <c r="F194" s="11" t="n">
        <v>0</v>
      </c>
      <c r="G194" s="12">
        <f>E194*F194</f>
        <v/>
      </c>
      <c r="H194" s="7" t="inlineStr"/>
    </row>
    <row r="195" ht="40" customHeight="1">
      <c r="A195" s="13" t="inlineStr">
        <is>
          <t>R13662</t>
        </is>
      </c>
      <c r="B195" s="14" t="inlineStr">
        <is>
          <t>Packaging recovered Digital Unit or CPRI Multiplexer Unit - XMU (R503)</t>
        </is>
      </c>
      <c r="C195" s="15" t="inlineStr">
        <is>
          <t>REMOVE</t>
        </is>
      </c>
      <c r="D195" s="15" t="inlineStr">
        <is>
          <t>each</t>
        </is>
      </c>
      <c r="E195" s="16" t="n">
        <v>68</v>
      </c>
      <c r="F195" s="17" t="n">
        <v>2</v>
      </c>
      <c r="G195" s="18">
        <f>E195*F195</f>
        <v/>
      </c>
      <c r="H195" s="13" t="inlineStr">
        <is>
          <t>Statement: Table row under EQUIPMENT NOTES: REMOVE 2.0x model ERICSSON R503 DIGITAL UNIT details INSTALLED IN 45RU PATHFINDER RACK RT/2/2 INSTALLED IN 45RU PATHFINDER RACK RT/2/2 with ID 17 on sector - -&gt; Rules Applied: Remove Panel Antenna or tower mounted device, Recover GPS system, Tower Mounted Device Removal, Remote Radio Unit (RRU) Removal -&gt; Match Reason: Matched via similarity score 32.2%</t>
        </is>
      </c>
    </row>
    <row r="196" ht="26" customHeight="1">
      <c r="A196" s="13" t="inlineStr">
        <is>
          <t>R13663</t>
        </is>
      </c>
      <c r="B196" s="14" t="inlineStr">
        <is>
          <t>Packaging recovered RBS6601</t>
        </is>
      </c>
      <c r="C196" s="15" t="inlineStr">
        <is>
          <t>REMOVE</t>
        </is>
      </c>
      <c r="D196" s="15" t="inlineStr">
        <is>
          <t>each</t>
        </is>
      </c>
      <c r="E196" s="16" t="n">
        <v>75</v>
      </c>
      <c r="F196" s="17" t="n">
        <v>1</v>
      </c>
      <c r="G196" s="18">
        <f>E196*F196</f>
        <v/>
      </c>
      <c r="H196" s="13" t="inlineStr">
        <is>
          <t>Statement: Table row under EQUIPMENT NOTES: REMOVE 1.0x model ERICSSON RBS6601 details INSTALLED IN 45RU PATHFINDER RACKS INSTALLED IN 45RU PATHFINDER RACKS with ID 19 on sector - -&gt; Rules Applied: Remove Panel Antenna or tower mounted device, Recover GPS system, Tower Mounted Device Removal, Remote Radio Unit (RRU) Removal -&gt; Match Reason: Matched via similarity score 43.3%</t>
        </is>
      </c>
    </row>
    <row r="197" ht="26" customHeight="1">
      <c r="A197" s="7" t="inlineStr">
        <is>
          <t>R13664</t>
        </is>
      </c>
      <c r="B197" s="8" t="inlineStr">
        <is>
          <t>Packaging recovered SIU-02</t>
        </is>
      </c>
      <c r="C197" s="9" t="inlineStr"/>
      <c r="D197" s="9" t="inlineStr">
        <is>
          <t>each</t>
        </is>
      </c>
      <c r="E197" s="10" t="n">
        <v>79</v>
      </c>
      <c r="F197" s="11" t="n">
        <v>0</v>
      </c>
      <c r="G197" s="12">
        <f>E197*F197</f>
        <v/>
      </c>
      <c r="H197" s="7" t="inlineStr"/>
    </row>
    <row r="198" ht="24" customHeight="1">
      <c r="A198" s="5" t="inlineStr">
        <is>
          <t>PLANT HIRE</t>
        </is>
      </c>
      <c r="B198" s="6" t="n"/>
      <c r="C198" s="6" t="n"/>
      <c r="D198" s="6" t="n"/>
      <c r="E198" s="6" t="n"/>
      <c r="F198" s="6" t="n"/>
      <c r="G198" s="6" t="n"/>
      <c r="H198" s="6" t="n"/>
    </row>
    <row r="199" ht="26" customHeight="1">
      <c r="A199" s="7" t="inlineStr"/>
      <c r="B199" s="8" t="inlineStr">
        <is>
          <t>Ewp hire - 20m</t>
        </is>
      </c>
      <c r="C199" s="9" t="inlineStr"/>
      <c r="D199" s="9" t="inlineStr">
        <is>
          <t>per hour</t>
        </is>
      </c>
      <c r="E199" s="10" t="n">
        <v>0</v>
      </c>
      <c r="F199" s="11" t="n">
        <v>0</v>
      </c>
      <c r="G199" s="12">
        <f>E199*F199</f>
        <v/>
      </c>
      <c r="H199" s="7" t="inlineStr"/>
    </row>
    <row r="200" ht="26" customHeight="1">
      <c r="A200" s="7" t="inlineStr"/>
      <c r="B200" s="8" t="inlineStr">
        <is>
          <t>Ewp hire - 30m</t>
        </is>
      </c>
      <c r="C200" s="9" t="inlineStr"/>
      <c r="D200" s="9" t="inlineStr">
        <is>
          <t>per hour</t>
        </is>
      </c>
      <c r="E200" s="10" t="n">
        <v>0</v>
      </c>
      <c r="F200" s="11" t="n">
        <v>0</v>
      </c>
      <c r="G200" s="12">
        <f>E200*F200</f>
        <v/>
      </c>
      <c r="H200" s="7" t="inlineStr"/>
    </row>
    <row r="201" ht="26" customHeight="1">
      <c r="A201" s="7" t="inlineStr"/>
      <c r="B201" s="8" t="inlineStr">
        <is>
          <t>Ewp hire - 32m</t>
        </is>
      </c>
      <c r="C201" s="9" t="inlineStr"/>
      <c r="D201" s="9" t="inlineStr">
        <is>
          <t>per hour</t>
        </is>
      </c>
      <c r="E201" s="10" t="n">
        <v>0</v>
      </c>
      <c r="F201" s="11" t="n">
        <v>0</v>
      </c>
      <c r="G201" s="12">
        <f>E201*F201</f>
        <v/>
      </c>
      <c r="H201" s="7" t="inlineStr"/>
    </row>
    <row r="202" ht="26" customHeight="1">
      <c r="A202" s="7" t="inlineStr"/>
      <c r="B202" s="8" t="inlineStr">
        <is>
          <t>Ewp hire - 40m</t>
        </is>
      </c>
      <c r="C202" s="9" t="inlineStr"/>
      <c r="D202" s="9" t="inlineStr">
        <is>
          <t>per hour</t>
        </is>
      </c>
      <c r="E202" s="10" t="n">
        <v>0</v>
      </c>
      <c r="F202" s="11" t="n">
        <v>0</v>
      </c>
      <c r="G202" s="12">
        <f>E202*F202</f>
        <v/>
      </c>
      <c r="H202" s="7" t="inlineStr"/>
    </row>
    <row r="203" ht="26" customHeight="1">
      <c r="A203" s="7" t="inlineStr"/>
      <c r="B203" s="8" t="inlineStr">
        <is>
          <t>Ewp hire - 45m</t>
        </is>
      </c>
      <c r="C203" s="9" t="inlineStr"/>
      <c r="D203" s="9" t="inlineStr">
        <is>
          <t>per hour</t>
        </is>
      </c>
      <c r="E203" s="10" t="n">
        <v>0</v>
      </c>
      <c r="F203" s="11" t="n">
        <v>0</v>
      </c>
      <c r="G203" s="12">
        <f>E203*F203</f>
        <v/>
      </c>
      <c r="H203" s="7" t="inlineStr"/>
    </row>
    <row r="204" ht="26" customHeight="1">
      <c r="A204" s="7" t="inlineStr"/>
      <c r="B204" s="8" t="inlineStr">
        <is>
          <t>Ewp hire - 48m</t>
        </is>
      </c>
      <c r="C204" s="9" t="inlineStr"/>
      <c r="D204" s="9" t="inlineStr">
        <is>
          <t>per hour</t>
        </is>
      </c>
      <c r="E204" s="10" t="n">
        <v>0</v>
      </c>
      <c r="F204" s="11" t="n">
        <v>0</v>
      </c>
      <c r="G204" s="12">
        <f>E204*F204</f>
        <v/>
      </c>
      <c r="H204" s="7" t="inlineStr"/>
    </row>
    <row r="205" ht="26" customHeight="1">
      <c r="A205" s="7" t="inlineStr"/>
      <c r="B205" s="8" t="inlineStr">
        <is>
          <t>Ewp hire - 51m</t>
        </is>
      </c>
      <c r="C205" s="9" t="inlineStr"/>
      <c r="D205" s="9" t="inlineStr">
        <is>
          <t>per hour</t>
        </is>
      </c>
      <c r="E205" s="10" t="n">
        <v>0</v>
      </c>
      <c r="F205" s="11" t="n">
        <v>0</v>
      </c>
      <c r="G205" s="12">
        <f>E205*F205</f>
        <v/>
      </c>
      <c r="H205" s="7" t="inlineStr"/>
    </row>
    <row r="206" ht="26" customHeight="1">
      <c r="A206" s="7" t="inlineStr"/>
      <c r="B206" s="8" t="inlineStr">
        <is>
          <t>Ewp hire - 61m</t>
        </is>
      </c>
      <c r="C206" s="9" t="inlineStr"/>
      <c r="D206" s="9" t="inlineStr">
        <is>
          <t>per hour</t>
        </is>
      </c>
      <c r="E206" s="10" t="n">
        <v>0</v>
      </c>
      <c r="F206" s="11" t="n">
        <v>0</v>
      </c>
      <c r="G206" s="12">
        <f>E206*F206</f>
        <v/>
      </c>
      <c r="H206" s="7" t="inlineStr"/>
    </row>
    <row r="207" ht="26" customHeight="1">
      <c r="A207" s="7" t="inlineStr"/>
      <c r="B207" s="8" t="inlineStr">
        <is>
          <t>Ewp hire - 72m</t>
        </is>
      </c>
      <c r="C207" s="9" t="inlineStr"/>
      <c r="D207" s="9" t="inlineStr">
        <is>
          <t>per hour</t>
        </is>
      </c>
      <c r="E207" s="10" t="n">
        <v>0</v>
      </c>
      <c r="F207" s="11" t="n">
        <v>0</v>
      </c>
      <c r="G207" s="12">
        <f>E207*F207</f>
        <v/>
      </c>
      <c r="H207" s="7" t="inlineStr"/>
    </row>
    <row r="208" ht="26" customHeight="1">
      <c r="A208" s="7" t="inlineStr"/>
      <c r="B208" s="8" t="inlineStr">
        <is>
          <t>EWP hire - 103m price on application</t>
        </is>
      </c>
      <c r="C208" s="9" t="inlineStr"/>
      <c r="D208" s="9" t="inlineStr">
        <is>
          <t>per hour</t>
        </is>
      </c>
      <c r="E208" s="10" t="n">
        <v>0</v>
      </c>
      <c r="F208" s="11" t="n">
        <v>0</v>
      </c>
      <c r="G208" s="12">
        <f>E208*F208</f>
        <v/>
      </c>
      <c r="H208" s="7" t="inlineStr"/>
    </row>
    <row r="209" ht="26" customHeight="1">
      <c r="A209" s="7" t="inlineStr"/>
      <c r="B209" s="8" t="inlineStr">
        <is>
          <t>Boom Hire 86ft Self Propelld</t>
        </is>
      </c>
      <c r="C209" s="9" t="inlineStr"/>
      <c r="D209" s="9" t="inlineStr">
        <is>
          <t>per week</t>
        </is>
      </c>
      <c r="E209" s="10" t="n">
        <v>0</v>
      </c>
      <c r="F209" s="11" t="n">
        <v>0</v>
      </c>
      <c r="G209" s="12">
        <f>E209*F209</f>
        <v/>
      </c>
      <c r="H209" s="7" t="inlineStr"/>
    </row>
    <row r="210" ht="26" customHeight="1">
      <c r="A210" s="7" t="inlineStr"/>
      <c r="B210" s="8" t="inlineStr">
        <is>
          <t>Boom hire 135 self propelled</t>
        </is>
      </c>
      <c r="C210" s="9" t="inlineStr"/>
      <c r="D210" s="9" t="inlineStr">
        <is>
          <t>per week</t>
        </is>
      </c>
      <c r="E210" s="10" t="n">
        <v>0</v>
      </c>
      <c r="F210" s="11" t="n">
        <v>0</v>
      </c>
      <c r="G210" s="12">
        <f>E210*F210</f>
        <v/>
      </c>
      <c r="H210" s="7" t="inlineStr"/>
    </row>
    <row r="211" ht="26" customHeight="1">
      <c r="A211" s="7" t="inlineStr"/>
      <c r="B211" s="8" t="inlineStr">
        <is>
          <t>Crane hire - Franna- 20t</t>
        </is>
      </c>
      <c r="C211" s="9" t="inlineStr"/>
      <c r="D211" s="9" t="inlineStr">
        <is>
          <t>per hour</t>
        </is>
      </c>
      <c r="E211" s="10" t="n">
        <v>0</v>
      </c>
      <c r="F211" s="11" t="n">
        <v>0</v>
      </c>
      <c r="G211" s="12">
        <f>E211*F211</f>
        <v/>
      </c>
      <c r="H211" s="7" t="inlineStr"/>
    </row>
    <row r="212" ht="26" customHeight="1">
      <c r="A212" s="7" t="inlineStr"/>
      <c r="B212" s="8" t="inlineStr">
        <is>
          <t>Crane hire - Franna- 25t</t>
        </is>
      </c>
      <c r="C212" s="9" t="inlineStr"/>
      <c r="D212" s="9" t="inlineStr">
        <is>
          <t>per hour</t>
        </is>
      </c>
      <c r="E212" s="10" t="n">
        <v>0</v>
      </c>
      <c r="F212" s="11" t="n">
        <v>0</v>
      </c>
      <c r="G212" s="12">
        <f>E212*F212</f>
        <v/>
      </c>
      <c r="H212" s="7" t="inlineStr"/>
    </row>
    <row r="213" ht="26" customHeight="1">
      <c r="A213" s="7" t="inlineStr"/>
      <c r="B213" s="8" t="inlineStr">
        <is>
          <t>Crane hire - Franna- 25t superlift</t>
        </is>
      </c>
      <c r="C213" s="9" t="inlineStr"/>
      <c r="D213" s="9" t="inlineStr">
        <is>
          <t>per hour</t>
        </is>
      </c>
      <c r="E213" s="10" t="n">
        <v>0</v>
      </c>
      <c r="F213" s="11" t="n">
        <v>0</v>
      </c>
      <c r="G213" s="12">
        <f>E213*F213</f>
        <v/>
      </c>
      <c r="H213" s="7" t="inlineStr"/>
    </row>
    <row r="214" ht="26" customHeight="1">
      <c r="A214" s="7" t="inlineStr"/>
      <c r="B214" s="8" t="inlineStr">
        <is>
          <t>Crane hire - Franna- 40t</t>
        </is>
      </c>
      <c r="C214" s="9" t="inlineStr"/>
      <c r="D214" s="9" t="inlineStr">
        <is>
          <t>per hour</t>
        </is>
      </c>
      <c r="E214" s="10" t="n">
        <v>0</v>
      </c>
      <c r="F214" s="11" t="n">
        <v>0</v>
      </c>
      <c r="G214" s="12">
        <f>E214*F214</f>
        <v/>
      </c>
      <c r="H214" s="7" t="inlineStr"/>
    </row>
    <row r="215" ht="26" customHeight="1">
      <c r="A215" s="7" t="inlineStr"/>
      <c r="B215" s="8" t="inlineStr">
        <is>
          <t>Crane hire - 20t City Crane</t>
        </is>
      </c>
      <c r="C215" s="9" t="inlineStr"/>
      <c r="D215" s="9" t="inlineStr">
        <is>
          <t>per hour</t>
        </is>
      </c>
      <c r="E215" s="10" t="n">
        <v>0</v>
      </c>
      <c r="F215" s="11" t="n">
        <v>0</v>
      </c>
      <c r="G215" s="12">
        <f>E215*F215</f>
        <v/>
      </c>
      <c r="H215" s="7" t="inlineStr"/>
    </row>
    <row r="216" ht="26" customHeight="1">
      <c r="A216" s="7" t="inlineStr"/>
      <c r="B216" s="8" t="inlineStr">
        <is>
          <t>Crane hire - 40t all terrain</t>
        </is>
      </c>
      <c r="C216" s="9" t="inlineStr"/>
      <c r="D216" s="9" t="inlineStr">
        <is>
          <t>per hour</t>
        </is>
      </c>
      <c r="E216" s="10" t="n">
        <v>0</v>
      </c>
      <c r="F216" s="11" t="n">
        <v>0</v>
      </c>
      <c r="G216" s="12">
        <f>E216*F216</f>
        <v/>
      </c>
      <c r="H216" s="7" t="inlineStr"/>
    </row>
    <row r="217" ht="26" customHeight="1">
      <c r="A217" s="7" t="inlineStr"/>
      <c r="B217" s="8" t="inlineStr">
        <is>
          <t>Crane hire - 55t all terrain</t>
        </is>
      </c>
      <c r="C217" s="9" t="inlineStr"/>
      <c r="D217" s="9" t="inlineStr">
        <is>
          <t>per hour</t>
        </is>
      </c>
      <c r="E217" s="10" t="n">
        <v>0</v>
      </c>
      <c r="F217" s="11" t="n">
        <v>0</v>
      </c>
      <c r="G217" s="12">
        <f>E217*F217</f>
        <v/>
      </c>
      <c r="H217" s="7" t="inlineStr"/>
    </row>
    <row r="218" ht="26" customHeight="1">
      <c r="A218" s="7" t="inlineStr"/>
      <c r="B218" s="8" t="inlineStr">
        <is>
          <t>Crane hire - 60t all terrain</t>
        </is>
      </c>
      <c r="C218" s="9" t="inlineStr"/>
      <c r="D218" s="9" t="inlineStr">
        <is>
          <t>per hour</t>
        </is>
      </c>
      <c r="E218" s="10" t="n">
        <v>0</v>
      </c>
      <c r="F218" s="11" t="n">
        <v>0</v>
      </c>
      <c r="G218" s="12">
        <f>E218*F218</f>
        <v/>
      </c>
      <c r="H218" s="7" t="inlineStr"/>
    </row>
    <row r="219" ht="26" customHeight="1">
      <c r="A219" s="7" t="inlineStr"/>
      <c r="B219" s="8" t="inlineStr">
        <is>
          <t>Crane hire - 80t all terrain</t>
        </is>
      </c>
      <c r="C219" s="9" t="inlineStr"/>
      <c r="D219" s="9" t="inlineStr">
        <is>
          <t>per hour</t>
        </is>
      </c>
      <c r="E219" s="10" t="n">
        <v>0</v>
      </c>
      <c r="F219" s="11" t="n">
        <v>0</v>
      </c>
      <c r="G219" s="12">
        <f>E219*F219</f>
        <v/>
      </c>
      <c r="H219" s="7" t="inlineStr"/>
    </row>
    <row r="220" ht="26" customHeight="1">
      <c r="A220" s="7" t="inlineStr"/>
      <c r="B220" s="8" t="inlineStr">
        <is>
          <t>Crane hire - 90t all terrain</t>
        </is>
      </c>
      <c r="C220" s="9" t="inlineStr"/>
      <c r="D220" s="9" t="inlineStr">
        <is>
          <t>per hour</t>
        </is>
      </c>
      <c r="E220" s="10" t="n">
        <v>0</v>
      </c>
      <c r="F220" s="11" t="n">
        <v>0</v>
      </c>
      <c r="G220" s="12">
        <f>E220*F220</f>
        <v/>
      </c>
      <c r="H220" s="7" t="inlineStr"/>
    </row>
    <row r="221" ht="26" customHeight="1">
      <c r="A221" s="7" t="inlineStr"/>
      <c r="B221" s="8" t="inlineStr">
        <is>
          <t>Crane hire - 100t all terrain</t>
        </is>
      </c>
      <c r="C221" s="9" t="inlineStr"/>
      <c r="D221" s="9" t="inlineStr">
        <is>
          <t>per hour</t>
        </is>
      </c>
      <c r="E221" s="10" t="n">
        <v>0</v>
      </c>
      <c r="F221" s="11" t="n">
        <v>0</v>
      </c>
      <c r="G221" s="12">
        <f>E221*F221</f>
        <v/>
      </c>
      <c r="H221" s="7" t="inlineStr"/>
    </row>
    <row r="222" ht="26" customHeight="1">
      <c r="A222" s="7" t="inlineStr"/>
      <c r="B222" s="8" t="inlineStr">
        <is>
          <t>Crane hire - 130t all terrain</t>
        </is>
      </c>
      <c r="C222" s="9" t="inlineStr"/>
      <c r="D222" s="9" t="inlineStr">
        <is>
          <t>per hour</t>
        </is>
      </c>
      <c r="E222" s="10" t="n">
        <v>0</v>
      </c>
      <c r="F222" s="11" t="n">
        <v>0</v>
      </c>
      <c r="G222" s="12">
        <f>E222*F222</f>
        <v/>
      </c>
      <c r="H222" s="7" t="inlineStr"/>
    </row>
    <row r="223" ht="26" customHeight="1">
      <c r="A223" s="7" t="inlineStr"/>
      <c r="B223" s="8" t="inlineStr">
        <is>
          <t>Crane hire - 150t all terrain</t>
        </is>
      </c>
      <c r="C223" s="9" t="inlineStr"/>
      <c r="D223" s="9" t="inlineStr">
        <is>
          <t>per hour</t>
        </is>
      </c>
      <c r="E223" s="10" t="n">
        <v>0</v>
      </c>
      <c r="F223" s="11" t="n">
        <v>0</v>
      </c>
      <c r="G223" s="12">
        <f>E223*F223</f>
        <v/>
      </c>
      <c r="H223" s="7" t="inlineStr"/>
    </row>
    <row r="224" ht="26" customHeight="1">
      <c r="A224" s="7" t="inlineStr"/>
      <c r="B224" s="8" t="inlineStr">
        <is>
          <t>Crane hire - 200t all terrain</t>
        </is>
      </c>
      <c r="C224" s="9" t="inlineStr"/>
      <c r="D224" s="9" t="inlineStr">
        <is>
          <t>per hour</t>
        </is>
      </c>
      <c r="E224" s="10" t="n">
        <v>0</v>
      </c>
      <c r="F224" s="11" t="n">
        <v>0</v>
      </c>
      <c r="G224" s="12">
        <f>E224*F224</f>
        <v/>
      </c>
      <c r="H224" s="7" t="inlineStr"/>
    </row>
    <row r="225" ht="26" customHeight="1">
      <c r="A225" s="7" t="inlineStr"/>
      <c r="B225" s="8" t="inlineStr">
        <is>
          <t>Crane hire - 220t all terrain</t>
        </is>
      </c>
      <c r="C225" s="9" t="inlineStr"/>
      <c r="D225" s="9" t="inlineStr">
        <is>
          <t>per hour</t>
        </is>
      </c>
      <c r="E225" s="10" t="n">
        <v>0</v>
      </c>
      <c r="F225" s="11" t="n">
        <v>0</v>
      </c>
      <c r="G225" s="12">
        <f>E225*F225</f>
        <v/>
      </c>
      <c r="H225" s="7" t="inlineStr"/>
    </row>
    <row r="226" ht="26" customHeight="1">
      <c r="A226" s="7" t="inlineStr"/>
      <c r="B226" s="8" t="inlineStr">
        <is>
          <t>Crane hire - 250t all terrain</t>
        </is>
      </c>
      <c r="C226" s="9" t="inlineStr"/>
      <c r="D226" s="9" t="inlineStr">
        <is>
          <t>per hour</t>
        </is>
      </c>
      <c r="E226" s="10" t="n">
        <v>0</v>
      </c>
      <c r="F226" s="11" t="n">
        <v>0</v>
      </c>
      <c r="G226" s="12">
        <f>E226*F226</f>
        <v/>
      </c>
      <c r="H226" s="7" t="inlineStr"/>
    </row>
    <row r="227" ht="24" customHeight="1">
      <c r="A227" s="5" t="inlineStr">
        <is>
          <t>MISC</t>
        </is>
      </c>
      <c r="B227" s="6" t="n"/>
      <c r="C227" s="6" t="n"/>
      <c r="D227" s="6" t="n"/>
      <c r="E227" s="6" t="n"/>
      <c r="F227" s="6" t="n"/>
      <c r="G227" s="6" t="n"/>
      <c r="H227" s="6" t="n"/>
    </row>
    <row r="228" ht="26" customHeight="1">
      <c r="A228" s="7" t="inlineStr"/>
      <c r="B228" s="8" t="inlineStr">
        <is>
          <t>Weekend uplift rate - Tech</t>
        </is>
      </c>
      <c r="C228" s="9" t="inlineStr"/>
      <c r="D228" s="9" t="inlineStr">
        <is>
          <t>per hr</t>
        </is>
      </c>
      <c r="E228" s="10" t="n">
        <v>55</v>
      </c>
      <c r="F228" s="11" t="n">
        <v>0</v>
      </c>
      <c r="G228" s="12">
        <f>E228*F228</f>
        <v/>
      </c>
      <c r="H228" s="7" t="inlineStr"/>
    </row>
    <row r="229" ht="26" customHeight="1">
      <c r="A229" s="7" t="inlineStr"/>
      <c r="B229" s="8" t="inlineStr">
        <is>
          <t>Weekend uplift rate - Rigger</t>
        </is>
      </c>
      <c r="C229" s="9" t="inlineStr"/>
      <c r="D229" s="9" t="inlineStr">
        <is>
          <t>per hr</t>
        </is>
      </c>
      <c r="E229" s="10" t="n">
        <v>50</v>
      </c>
      <c r="F229" s="11" t="n">
        <v>0</v>
      </c>
      <c r="G229" s="12">
        <f>E229*F229</f>
        <v/>
      </c>
      <c r="H229" s="7" t="inlineStr"/>
    </row>
    <row r="230" ht="26" customHeight="1">
      <c r="A230" s="7" t="inlineStr"/>
      <c r="B230" s="8" t="inlineStr">
        <is>
          <t>Site buildability survey and reporting</t>
        </is>
      </c>
      <c r="C230" s="9" t="inlineStr"/>
      <c r="D230" s="9" t="inlineStr">
        <is>
          <t>per site</t>
        </is>
      </c>
      <c r="E230" s="10" t="n">
        <v>1020</v>
      </c>
      <c r="F230" s="11" t="n">
        <v>0</v>
      </c>
      <c r="G230" s="12">
        <f>E230*F230</f>
        <v/>
      </c>
      <c r="H230" s="7" t="inlineStr"/>
    </row>
    <row r="231" ht="26" customHeight="1">
      <c r="A231" s="7" t="inlineStr"/>
      <c r="B231" s="8" t="inlineStr">
        <is>
          <t>FIM and waste management</t>
        </is>
      </c>
      <c r="C231" s="9" t="inlineStr"/>
      <c r="D231" s="9" t="inlineStr">
        <is>
          <t>per site</t>
        </is>
      </c>
      <c r="E231" s="10" t="n">
        <v>860</v>
      </c>
      <c r="F231" s="11" t="n">
        <v>0</v>
      </c>
      <c r="G231" s="12">
        <f>E231*F231</f>
        <v/>
      </c>
      <c r="H231" s="7" t="inlineStr"/>
    </row>
    <row r="232" ht="26" customHeight="1">
      <c r="A232" s="7" t="inlineStr">
        <is>
          <t>W13398</t>
        </is>
      </c>
      <c r="B232" s="8" t="inlineStr">
        <is>
          <t>Tier 2 Tower Inspections BAU when completing Build</t>
        </is>
      </c>
      <c r="C232" s="9" t="inlineStr"/>
      <c r="D232" s="9" t="inlineStr">
        <is>
          <t>per site</t>
        </is>
      </c>
      <c r="E232" s="10" t="n">
        <v>329</v>
      </c>
      <c r="F232" s="11" t="n">
        <v>0</v>
      </c>
      <c r="G232" s="12">
        <f>E232*F232</f>
        <v/>
      </c>
      <c r="H232" s="7" t="inlineStr"/>
    </row>
    <row r="233" ht="26" customHeight="1">
      <c r="A233" s="7" t="inlineStr">
        <is>
          <t>LAB-30</t>
        </is>
      </c>
      <c r="B233" s="8" t="inlineStr">
        <is>
          <t>Team Leader (Normal Working Hours)</t>
        </is>
      </c>
      <c r="C233" s="9" t="inlineStr"/>
      <c r="D233" s="9" t="inlineStr">
        <is>
          <t>per hour</t>
        </is>
      </c>
      <c r="E233" s="10" t="n">
        <v>95</v>
      </c>
      <c r="F233" s="11" t="n">
        <v>0</v>
      </c>
      <c r="G233" s="12">
        <f>E233*F233</f>
        <v/>
      </c>
      <c r="H233" s="7" t="inlineStr"/>
    </row>
    <row r="234" ht="26" customHeight="1">
      <c r="A234" s="7" t="inlineStr">
        <is>
          <t>LAB-31</t>
        </is>
      </c>
      <c r="B234" s="8" t="inlineStr">
        <is>
          <t>Team Leader (Out of Normal Working Hours)</t>
        </is>
      </c>
      <c r="C234" s="9" t="inlineStr"/>
      <c r="D234" s="9" t="inlineStr">
        <is>
          <t>per hour</t>
        </is>
      </c>
      <c r="E234" s="10" t="n">
        <v>145</v>
      </c>
      <c r="F234" s="11" t="n">
        <v>0</v>
      </c>
      <c r="G234" s="12">
        <f>E234*F234</f>
        <v/>
      </c>
      <c r="H234" s="7" t="inlineStr"/>
    </row>
    <row r="235" ht="26" customHeight="1">
      <c r="A235" s="7" t="inlineStr">
        <is>
          <t>LAB-32</t>
        </is>
      </c>
      <c r="B235" s="8" t="inlineStr">
        <is>
          <t>Technician  (Normal Working Hours)</t>
        </is>
      </c>
      <c r="C235" s="9" t="inlineStr"/>
      <c r="D235" s="9" t="inlineStr">
        <is>
          <t>per hour</t>
        </is>
      </c>
      <c r="E235" s="10" t="n">
        <v>90</v>
      </c>
      <c r="F235" s="11" t="n">
        <v>0</v>
      </c>
      <c r="G235" s="12">
        <f>E235*F235</f>
        <v/>
      </c>
      <c r="H235" s="7" t="inlineStr"/>
    </row>
    <row r="236" ht="26" customHeight="1">
      <c r="A236" s="7" t="inlineStr">
        <is>
          <t>LAB-33</t>
        </is>
      </c>
      <c r="B236" s="8" t="inlineStr">
        <is>
          <t>Technician  (Out of Normal Working Hours)</t>
        </is>
      </c>
      <c r="C236" s="9" t="inlineStr"/>
      <c r="D236" s="9" t="inlineStr">
        <is>
          <t>per hour</t>
        </is>
      </c>
      <c r="E236" s="10" t="n">
        <v>140</v>
      </c>
      <c r="F236" s="11" t="n">
        <v>0</v>
      </c>
      <c r="G236" s="12">
        <f>E236*F236</f>
        <v/>
      </c>
      <c r="H236" s="7" t="inlineStr"/>
    </row>
    <row r="237" ht="26" customHeight="1">
      <c r="A237" s="7" t="inlineStr">
        <is>
          <t>LAB-34</t>
        </is>
      </c>
      <c r="B237" s="8" t="inlineStr">
        <is>
          <t>Radio Lines /Riggers (Normal Working Hours)</t>
        </is>
      </c>
      <c r="C237" s="9" t="inlineStr"/>
      <c r="D237" s="9" t="inlineStr">
        <is>
          <t>per hour</t>
        </is>
      </c>
      <c r="E237" s="10" t="n">
        <v>85</v>
      </c>
      <c r="F237" s="11" t="n">
        <v>0</v>
      </c>
      <c r="G237" s="12">
        <f>E237*F237</f>
        <v/>
      </c>
      <c r="H237" s="7" t="inlineStr"/>
    </row>
    <row r="238" ht="26" customHeight="1">
      <c r="A238" s="7" t="inlineStr">
        <is>
          <t>LAB-35</t>
        </is>
      </c>
      <c r="B238" s="8" t="inlineStr">
        <is>
          <t>Radio Lines /Riggers (Out of Normal Working Hours)</t>
        </is>
      </c>
      <c r="C238" s="9" t="inlineStr"/>
      <c r="D238" s="9" t="inlineStr">
        <is>
          <t>per hour</t>
        </is>
      </c>
      <c r="E238" s="10" t="n">
        <v>135</v>
      </c>
      <c r="F238" s="11" t="n">
        <v>0</v>
      </c>
      <c r="G238" s="12">
        <f>E238*F238</f>
        <v/>
      </c>
      <c r="H238" s="7" t="inlineStr"/>
    </row>
    <row r="239" ht="26" customHeight="1">
      <c r="A239" s="7" t="inlineStr"/>
      <c r="B239" s="8" t="inlineStr">
        <is>
          <t>Senior Technician (Normal working hoours)</t>
        </is>
      </c>
      <c r="C239" s="9" t="inlineStr"/>
      <c r="D239" s="9" t="inlineStr">
        <is>
          <t>per hour</t>
        </is>
      </c>
      <c r="E239" s="10" t="n">
        <v>95</v>
      </c>
      <c r="F239" s="11" t="n">
        <v>0</v>
      </c>
      <c r="G239" s="12">
        <f>E239*F239</f>
        <v/>
      </c>
      <c r="H239" s="7" t="inlineStr"/>
    </row>
    <row r="240" ht="26" customHeight="1">
      <c r="A240" s="7" t="inlineStr"/>
      <c r="B240" s="8" t="inlineStr">
        <is>
          <t>Senior Technician (Out of Normal working hours)</t>
        </is>
      </c>
      <c r="C240" s="9" t="inlineStr"/>
      <c r="D240" s="9" t="inlineStr">
        <is>
          <t>per hour</t>
        </is>
      </c>
      <c r="E240" s="10" t="n">
        <v>145</v>
      </c>
      <c r="F240" s="11" t="n">
        <v>0</v>
      </c>
      <c r="G240" s="12">
        <f>E240*F240</f>
        <v/>
      </c>
      <c r="H240" s="7" t="inlineStr"/>
    </row>
    <row r="241" ht="26" customHeight="1">
      <c r="A241" s="13" t="inlineStr"/>
      <c r="B241" s="14" t="inlineStr">
        <is>
          <t>Signage (supplied as FIM)</t>
        </is>
      </c>
      <c r="C241" s="15" t="inlineStr">
        <is>
          <t>INSTALL</t>
        </is>
      </c>
      <c r="D241" s="15" t="inlineStr">
        <is>
          <t>each</t>
        </is>
      </c>
      <c r="E241" s="16" t="n">
        <v>25</v>
      </c>
      <c r="F241" s="17" t="n">
        <v>11</v>
      </c>
      <c r="G241" s="18">
        <f>E241*F241</f>
        <v/>
      </c>
      <c r="H241" s="13" t="inlineStr">
        <is>
          <t>Statement: PROPOSED SIGN SECURED TO
PROPOSED CHAIN BARRIER
# 7 -&gt; Rules Applied: One panel Antenna, One 5G AAU - first, GPS system, Tower Mounted Device (TMA, COM, FILTER), Remote Radio Unit (RRU), External Combiner, One panel Antenna - extra over, One 5G AAU - extra over, RRU x 1 - Extra over W12252 -&gt; Match Reason: Matched via similarity score 41.2% | Statement: PROPOSED SIGN
SECURED TO
CHAIN BARRIER -&gt; Rules Applied: One panel Antenna, One 5G AAU - first, GPS system, Tower Mounted Device (TMA, COM, FILTER), Remote Radio Unit (RRU), External Combiner, One panel Antenna - extra over, One 5G AAU - extra over, RRU x 1 - Extra over W12252 -&gt; Match Reason: Matched via similarity score 41.2% | Statement: PROPOSED SIGN
SECURED ON GATE -&gt; Rules Applied: One panel Antenna, One 5G AAU - first, GPS system, Tower Mounted Device (TMA, COM, FILTER), Remote Radio Unit (RRU), External Combiner, One panel Antenna - extra over, One 5G AAU - extra over, RRU x 1 - Extra over W12252 -&gt; Match Reason: Matched via similarity score 41.2% | Statement: # 7 PROPOSED SIGN SECURED TO DOOR -&gt; Rules Applied: One panel Antenna, One 5G AAU - first, GPS system, Tower Mounted Device (TMA, COM, FILTER), Remote Radio Unit (RRU), External Combiner, One panel Antenna - extra over, One 5G AAU - extra over, RRU x 1 - Extra over W12252 -&gt; Match Reason: Matched via similarity score 41.2% | Statement: PROPOSED SIGN SECURED TO
PROPOSED CHAIN BARRIER -&gt; Rules Applied: One panel Antenna, One 5G AAU - first, GPS system, Tower Mounted Device (TMA, COM, FILTER), Remote Radio Unit (RRU), External Combiner, One panel Antenna - extra over, One 5G AAU - extra over, RRU x 1 - Extra over W12252 -&gt; Match Reason: Matched via similarity score 41.2%</t>
        </is>
      </c>
    </row>
    <row r="242" ht="24" customHeight="1">
      <c r="A242" s="5" t="inlineStr">
        <is>
          <t>TRAVEL AND ACCOMODATION</t>
        </is>
      </c>
      <c r="B242" s="6" t="n"/>
      <c r="C242" s="6" t="n"/>
      <c r="D242" s="6" t="n"/>
      <c r="E242" s="6" t="n"/>
      <c r="F242" s="6" t="n"/>
      <c r="G242" s="6" t="n"/>
      <c r="H242" s="6" t="n"/>
    </row>
    <row r="243" ht="26" customHeight="1">
      <c r="A243" s="7" t="inlineStr"/>
      <c r="B243" s="8" t="inlineStr">
        <is>
          <t>Accommodation and meals</t>
        </is>
      </c>
      <c r="C243" s="9" t="inlineStr"/>
      <c r="D243" s="9" t="inlineStr">
        <is>
          <t>night</t>
        </is>
      </c>
      <c r="E243" s="10" t="n">
        <v>250</v>
      </c>
      <c r="F243" s="11" t="n">
        <v>0</v>
      </c>
      <c r="G243" s="12">
        <f>E243*F243</f>
        <v/>
      </c>
      <c r="H243" s="7" t="inlineStr"/>
    </row>
    <row r="244" ht="26" customHeight="1">
      <c r="A244" s="7" t="inlineStr"/>
      <c r="B244" s="8" t="inlineStr">
        <is>
          <t>Capital city accommodation and meals</t>
        </is>
      </c>
      <c r="C244" s="9" t="inlineStr"/>
      <c r="D244" s="9" t="inlineStr">
        <is>
          <t>night</t>
        </is>
      </c>
      <c r="E244" s="10" t="n">
        <v>250</v>
      </c>
      <c r="F244" s="11" t="n">
        <v>0</v>
      </c>
      <c r="G244" s="12">
        <f>E244*F244</f>
        <v/>
      </c>
      <c r="H244" s="7" t="inlineStr"/>
    </row>
    <row r="245" ht="26" customHeight="1">
      <c r="A245" s="7" t="inlineStr"/>
      <c r="B245" s="8" t="inlineStr">
        <is>
          <t>Travel per vehicle</t>
        </is>
      </c>
      <c r="C245" s="9" t="inlineStr"/>
      <c r="D245" s="9" t="inlineStr">
        <is>
          <t>per km</t>
        </is>
      </c>
      <c r="E245" s="10" t="n">
        <v>1.6</v>
      </c>
      <c r="F245" s="11" t="n">
        <v>0</v>
      </c>
      <c r="G245" s="12">
        <f>E245*F245</f>
        <v/>
      </c>
      <c r="H245" s="7" t="inlineStr"/>
    </row>
    <row r="246" ht="26" customHeight="1">
      <c r="A246" s="7" t="inlineStr"/>
      <c r="B246" s="8" t="inlineStr">
        <is>
          <t>Travel charge rate per rigger/tech</t>
        </is>
      </c>
      <c r="C246" s="9" t="inlineStr"/>
      <c r="D246" s="9" t="inlineStr">
        <is>
          <t>per hr</t>
        </is>
      </c>
      <c r="E246" s="10" t="n">
        <v>85</v>
      </c>
      <c r="F246" s="11" t="n">
        <v>0</v>
      </c>
      <c r="G246" s="12">
        <f>E246*F246</f>
        <v/>
      </c>
      <c r="H246" s="7" t="inlineStr"/>
    </row>
    <row r="247" ht="24" customHeight="1">
      <c r="A247" s="5" t="inlineStr">
        <is>
          <t>NON SOR ITEMS</t>
        </is>
      </c>
      <c r="B247" s="6" t="n"/>
      <c r="C247" s="6" t="n"/>
      <c r="D247" s="6" t="n"/>
      <c r="E247" s="6" t="n"/>
      <c r="F247" s="6" t="n"/>
      <c r="G247" s="6" t="n"/>
      <c r="H247" s="6" t="n"/>
    </row>
    <row r="248" ht="26" customHeight="1">
      <c r="A248" s="7" t="inlineStr"/>
      <c r="B248" s="8" t="inlineStr">
        <is>
          <t>Traffic management and permits</t>
        </is>
      </c>
      <c r="C248" s="9" t="inlineStr"/>
      <c r="D248" s="9" t="inlineStr">
        <is>
          <t>each</t>
        </is>
      </c>
      <c r="E248" s="10" t="n">
        <v>0</v>
      </c>
      <c r="F248" s="11" t="n">
        <v>0</v>
      </c>
      <c r="G248" s="12">
        <f>E248*F248</f>
        <v/>
      </c>
      <c r="H248" s="7" t="inlineStr"/>
    </row>
    <row r="249" ht="26" customHeight="1">
      <c r="A249" s="7" t="inlineStr"/>
      <c r="B249" s="8" t="inlineStr">
        <is>
          <t>Mains and sub mains AC works</t>
        </is>
      </c>
      <c r="C249" s="9" t="inlineStr"/>
      <c r="D249" s="9" t="inlineStr">
        <is>
          <t>each</t>
        </is>
      </c>
      <c r="E249" s="10" t="n">
        <v>0</v>
      </c>
      <c r="F249" s="11" t="n">
        <v>0</v>
      </c>
      <c r="G249" s="12">
        <f>E249*F249</f>
        <v/>
      </c>
      <c r="H249" s="7" t="inlineStr"/>
    </row>
    <row r="250" ht="24" customHeight="1">
      <c r="A250" s="5" t="inlineStr">
        <is>
          <t>SMALL CELL - SMR</t>
        </is>
      </c>
      <c r="B250" s="6" t="n"/>
      <c r="C250" s="6" t="n"/>
      <c r="D250" s="6" t="n"/>
      <c r="E250" s="6" t="n"/>
      <c r="F250" s="6" t="n"/>
      <c r="G250" s="6" t="n"/>
      <c r="H250" s="6" t="n"/>
    </row>
    <row r="251" ht="26" customHeight="1">
      <c r="A251" s="7" t="inlineStr">
        <is>
          <t>W13181</t>
        </is>
      </c>
      <c r="B251" s="8" t="inlineStr">
        <is>
          <t>Small Cell SMR -  Option 1 - Radio Head – Structure Mounted</t>
        </is>
      </c>
      <c r="C251" s="9" t="inlineStr"/>
      <c r="D251" s="9" t="inlineStr">
        <is>
          <t>each</t>
        </is>
      </c>
      <c r="E251" s="10" t="n">
        <v>5136</v>
      </c>
      <c r="F251" s="11" t="n">
        <v>0</v>
      </c>
      <c r="G251" s="12">
        <f>E251*F251</f>
        <v/>
      </c>
      <c r="H251" s="7" t="inlineStr"/>
    </row>
    <row r="252" ht="40" customHeight="1">
      <c r="A252" s="7" t="inlineStr">
        <is>
          <t>W13182</t>
        </is>
      </c>
      <c r="B252" s="8" t="inlineStr">
        <is>
          <t>Small Cell SMR -  Option 2 - Radio Head – Cabinet - Structure with ground based enclosure</t>
        </is>
      </c>
      <c r="C252" s="9" t="inlineStr"/>
      <c r="D252" s="9" t="inlineStr">
        <is>
          <t>each</t>
        </is>
      </c>
      <c r="E252" s="10" t="n">
        <v>5550</v>
      </c>
      <c r="F252" s="11" t="n">
        <v>0</v>
      </c>
      <c r="G252" s="12">
        <f>E252*F252</f>
        <v/>
      </c>
      <c r="H252" s="7" t="inlineStr"/>
    </row>
    <row r="253" ht="40" customHeight="1">
      <c r="A253" s="7" t="inlineStr">
        <is>
          <t>W13183</t>
        </is>
      </c>
      <c r="B253" s="8" t="inlineStr">
        <is>
          <t>Small Cell SMR -  Option 3 - Macro Lite – Cabinet - Structure with ground based enclosure</t>
        </is>
      </c>
      <c r="C253" s="9" t="inlineStr"/>
      <c r="D253" s="9" t="inlineStr">
        <is>
          <t>each</t>
        </is>
      </c>
      <c r="E253" s="10" t="n">
        <v>5496</v>
      </c>
      <c r="F253" s="11" t="n">
        <v>0</v>
      </c>
      <c r="G253" s="12">
        <f>E253*F253</f>
        <v/>
      </c>
      <c r="H253" s="7" t="inlineStr"/>
    </row>
    <row r="254" ht="40" customHeight="1">
      <c r="A254" s="7" t="inlineStr">
        <is>
          <t>W13184</t>
        </is>
      </c>
      <c r="B254" s="8" t="inlineStr">
        <is>
          <t>Small Cell SMR -  Option 4 - Macro Lite w/ Radio TX - Cabinet - Structure with ground-based enclosure</t>
        </is>
      </c>
      <c r="C254" s="9" t="inlineStr"/>
      <c r="D254" s="9" t="inlineStr">
        <is>
          <t>each</t>
        </is>
      </c>
      <c r="E254" s="10" t="n">
        <v>5976</v>
      </c>
      <c r="F254" s="11" t="n">
        <v>0</v>
      </c>
      <c r="G254" s="12">
        <f>E254*F254</f>
        <v/>
      </c>
      <c r="H254" s="7" t="inlineStr"/>
    </row>
    <row r="255" ht="26" customHeight="1">
      <c r="A255" s="7" t="inlineStr">
        <is>
          <t>W13185</t>
        </is>
      </c>
      <c r="B255" s="8" t="inlineStr">
        <is>
          <t>Small Cell SMR - Option 5 - Macro Lite – Exchange/building</t>
        </is>
      </c>
      <c r="C255" s="9" t="inlineStr"/>
      <c r="D255" s="9" t="inlineStr">
        <is>
          <t>each</t>
        </is>
      </c>
      <c r="E255" s="10" t="n">
        <v>4374</v>
      </c>
      <c r="F255" s="11" t="n">
        <v>0</v>
      </c>
      <c r="G255" s="12">
        <f>E255*F255</f>
        <v/>
      </c>
      <c r="H255" s="7" t="inlineStr"/>
    </row>
    <row r="256" ht="26" customHeight="1">
      <c r="A256" s="7" t="inlineStr">
        <is>
          <t>W13406</t>
        </is>
      </c>
      <c r="B256" s="8" t="inlineStr">
        <is>
          <t>Small Cell SMR - Option 6 – Macro-Lite – Structure mounted</t>
        </is>
      </c>
      <c r="C256" s="9" t="inlineStr"/>
      <c r="D256" s="9" t="inlineStr">
        <is>
          <t>each</t>
        </is>
      </c>
      <c r="E256" s="10" t="n">
        <v>5550</v>
      </c>
      <c r="F256" s="11" t="n">
        <v>0</v>
      </c>
      <c r="G256" s="12">
        <f>E256*F256</f>
        <v/>
      </c>
      <c r="H256" s="7" t="inlineStr"/>
    </row>
    <row r="257" ht="40" customHeight="1">
      <c r="A257" s="7" t="inlineStr">
        <is>
          <t>W13407</t>
        </is>
      </c>
      <c r="B257" s="8" t="inlineStr">
        <is>
          <t>Small Cell SMR - Option 7 – Macro-Lite w/ Radio TX – Structure mounted</t>
        </is>
      </c>
      <c r="C257" s="9" t="inlineStr"/>
      <c r="D257" s="9" t="inlineStr">
        <is>
          <t>each</t>
        </is>
      </c>
      <c r="E257" s="10" t="n">
        <v>6690</v>
      </c>
      <c r="F257" s="11" t="n">
        <v>0</v>
      </c>
      <c r="G257" s="12">
        <f>E257*F257</f>
        <v/>
      </c>
      <c r="H257" s="7" t="inlineStr"/>
    </row>
    <row r="258" ht="40" customHeight="1">
      <c r="A258" s="7" t="inlineStr">
        <is>
          <t>W13408</t>
        </is>
      </c>
      <c r="B258" s="8" t="inlineStr">
        <is>
          <t>Small Cell – Option H1 – HetNet Radio Head – Cabinet - Structure with ground-based enclosure</t>
        </is>
      </c>
      <c r="C258" s="9" t="inlineStr"/>
      <c r="D258" s="9" t="inlineStr">
        <is>
          <t>each</t>
        </is>
      </c>
      <c r="E258" s="10" t="n">
        <v>8190</v>
      </c>
      <c r="F258" s="11" t="n">
        <v>0</v>
      </c>
      <c r="G258" s="12">
        <f>E258*F258</f>
        <v/>
      </c>
      <c r="H258" s="7" t="inlineStr"/>
    </row>
    <row r="259" ht="40" customHeight="1">
      <c r="A259" s="7" t="inlineStr">
        <is>
          <t>W13409</t>
        </is>
      </c>
      <c r="B259" s="8" t="inlineStr">
        <is>
          <t>Small Cell – Option H2 – HetNet Radio Head – Structure mounted</t>
        </is>
      </c>
      <c r="C259" s="9" t="inlineStr"/>
      <c r="D259" s="9" t="inlineStr">
        <is>
          <t>each</t>
        </is>
      </c>
      <c r="E259" s="10" t="n">
        <v>8535</v>
      </c>
      <c r="F259" s="11" t="n">
        <v>0</v>
      </c>
      <c r="G259" s="12">
        <f>E259*F259</f>
        <v/>
      </c>
      <c r="H259" s="7" t="inlineStr"/>
    </row>
    <row r="260" ht="40" customHeight="1">
      <c r="A260" s="7" t="inlineStr">
        <is>
          <t>W13410</t>
        </is>
      </c>
      <c r="B260" s="8" t="inlineStr">
        <is>
          <t>Small Cell – Option H3 – Sectored HetNet Radio Head – Structure mounted</t>
        </is>
      </c>
      <c r="C260" s="9" t="inlineStr"/>
      <c r="D260" s="9" t="inlineStr">
        <is>
          <t>each</t>
        </is>
      </c>
      <c r="E260" s="10" t="n">
        <v>8865</v>
      </c>
      <c r="F260" s="11" t="n">
        <v>0</v>
      </c>
      <c r="G260" s="12">
        <f>E260*F260</f>
        <v/>
      </c>
      <c r="H260" s="7" t="inlineStr"/>
    </row>
    <row r="261" ht="26" customHeight="1">
      <c r="A261" s="7" t="inlineStr">
        <is>
          <t>W13411</t>
        </is>
      </c>
      <c r="B261" s="8" t="inlineStr">
        <is>
          <t>Small Cell – HetNet – Additional Sector for Option H3</t>
        </is>
      </c>
      <c r="C261" s="9" t="inlineStr"/>
      <c r="D261" s="9" t="inlineStr">
        <is>
          <t>each</t>
        </is>
      </c>
      <c r="E261" s="10" t="n">
        <v>2110</v>
      </c>
      <c r="F261" s="11" t="n">
        <v>0</v>
      </c>
      <c r="G261" s="12">
        <f>E261*F261</f>
        <v/>
      </c>
      <c r="H261" s="7" t="inlineStr"/>
    </row>
    <row r="262" ht="40" customHeight="1">
      <c r="A262" s="7" t="inlineStr">
        <is>
          <t>W13413</t>
        </is>
      </c>
      <c r="B262" s="8" t="inlineStr">
        <is>
          <t>Installation of WiFi Hotspot in combination with Small Cell site build.</t>
        </is>
      </c>
      <c r="C262" s="9" t="inlineStr"/>
      <c r="D262" s="9" t="inlineStr">
        <is>
          <t>each</t>
        </is>
      </c>
      <c r="E262" s="10" t="n">
        <v>2390</v>
      </c>
      <c r="F262" s="11" t="n">
        <v>0</v>
      </c>
      <c r="G262" s="12">
        <f>E262*F262</f>
        <v/>
      </c>
      <c r="H262" s="7" t="inlineStr"/>
    </row>
    <row r="263" ht="40" customHeight="1">
      <c r="A263" s="7" t="inlineStr">
        <is>
          <t>W13414</t>
        </is>
      </c>
      <c r="B263" s="8" t="inlineStr">
        <is>
          <t>Small Cell – Outdoor BB Unit Install at Exchange or CMTS Macro Site</t>
        </is>
      </c>
      <c r="C263" s="9" t="inlineStr"/>
      <c r="D263" s="9" t="inlineStr">
        <is>
          <t>each</t>
        </is>
      </c>
      <c r="E263" s="10" t="n">
        <v>822</v>
      </c>
      <c r="F263" s="11" t="n">
        <v>0</v>
      </c>
      <c r="G263" s="12">
        <f>E263*F263</f>
        <v/>
      </c>
      <c r="H263" s="7" t="inlineStr"/>
    </row>
    <row r="264" ht="24" customHeight="1">
      <c r="A264" s="5" t="inlineStr">
        <is>
          <t>NON-SOR &amp; UNQUOTED ITEMS</t>
        </is>
      </c>
      <c r="B264" s="6" t="n"/>
      <c r="C264" s="6" t="n"/>
      <c r="D264" s="6" t="n"/>
      <c r="E264" s="6" t="n"/>
      <c r="F264" s="6" t="n"/>
      <c r="G264" s="6" t="n"/>
      <c r="H264" s="6" t="n"/>
    </row>
    <row r="265" ht="26" customHeight="1">
      <c r="A265" s="13" t="inlineStr">
        <is>
          <t>UNQUOTED</t>
        </is>
      </c>
      <c r="B265" s="14" t="inlineStr">
        <is>
          <t>No matching catalog item found</t>
        </is>
      </c>
      <c r="C265" s="15" t="inlineStr">
        <is>
          <t>INSTALL</t>
        </is>
      </c>
      <c r="D265" s="15" t="inlineStr">
        <is>
          <t>each</t>
        </is>
      </c>
      <c r="E265" s="16" t="n">
        <v>0</v>
      </c>
      <c r="F265" s="17" t="n">
        <v>1</v>
      </c>
      <c r="G265" s="18">
        <f>E265*F265</f>
        <v/>
      </c>
      <c r="H265" s="13" t="inlineStr">
        <is>
          <t>Statement: Table row under EQUIPMENT NOTES: INSTALL 1.0x model ERICSSON DCDU details TO BE INSTALLED IN 45RU PATHFINDER RACK RT/2/2 TO BE INSTALLED IN 45RU PATHFINDER RACK RT/2/2 with ID 11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66" ht="26" customHeight="1">
      <c r="A266" s="13" t="inlineStr">
        <is>
          <t>UNQUOTED</t>
        </is>
      </c>
      <c r="B266" s="14" t="inlineStr">
        <is>
          <t>No matching catalog item found</t>
        </is>
      </c>
      <c r="C266" s="15" t="inlineStr">
        <is>
          <t>INSTALL</t>
        </is>
      </c>
      <c r="D266" s="15" t="inlineStr">
        <is>
          <t>each</t>
        </is>
      </c>
      <c r="E266" s="16" t="n">
        <v>0</v>
      </c>
      <c r="F266" s="17" t="n">
        <v>1</v>
      </c>
      <c r="G266" s="18">
        <f>E266*F266</f>
        <v/>
      </c>
      <c r="H266" s="13" t="inlineStr">
        <is>
          <t>Statement: Table row under EQUIPMENT NOTES: INSTALL 1.0x model KEREM A100 PDP details TO BE INSTALLED IN DECON RACK RT/2/4 TO BE INSTALLED IN DECON RACK RT/2/4 with ID 12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67" ht="26" customHeight="1">
      <c r="A267" s="13" t="inlineStr">
        <is>
          <t>UNQUOTED</t>
        </is>
      </c>
      <c r="B267" s="14" t="inlineStr">
        <is>
          <t>No matching catalog item found</t>
        </is>
      </c>
      <c r="C267" s="15" t="inlineStr">
        <is>
          <t>INSTALL</t>
        </is>
      </c>
      <c r="D267" s="15" t="inlineStr">
        <is>
          <t>each</t>
        </is>
      </c>
      <c r="E267" s="16" t="n">
        <v>0</v>
      </c>
      <c r="F267" s="17" t="n">
        <v>3</v>
      </c>
      <c r="G267" s="18">
        <f>E267*F267</f>
        <v/>
      </c>
      <c r="H267" s="13" t="inlineStr">
        <is>
          <t>Statement: Table row under EQUIPMENT NOTES: INSTALL 3.0x model KEREM A100 CB 40A details KT-APX-50KA-MTRS-40A KT-APX-50KA-MTRS-40A with ID 13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68" ht="26" customHeight="1">
      <c r="A268" s="13" t="inlineStr">
        <is>
          <t>UNQUOTED</t>
        </is>
      </c>
      <c r="B268" s="14" t="inlineStr">
        <is>
          <t>No matching catalog item found</t>
        </is>
      </c>
      <c r="C268" s="15" t="inlineStr">
        <is>
          <t>INSTALL</t>
        </is>
      </c>
      <c r="D268" s="15" t="inlineStr">
        <is>
          <t>each</t>
        </is>
      </c>
      <c r="E268" s="16" t="n">
        <v>0</v>
      </c>
      <c r="F268" s="17" t="n">
        <v>1</v>
      </c>
      <c r="G268" s="18">
        <f>E268*F268</f>
        <v/>
      </c>
      <c r="H268" s="13" t="inlineStr">
        <is>
          <t>Statement: Table row under EQUIPMENT NOTES: INSTALL 1.0x model ERICSSON RP6672 (LTE700/LTE850/NR850/LTE1800/LTE2100/LTE2600 details TO BE INSTALLED IN 45RU PATHFINDER RACK RT/2/2 TO BE INSTALLED IN 45RU PATHFINDER RACK RT/2/2 with ID 15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69" ht="26" customHeight="1">
      <c r="A269" s="13" t="inlineStr">
        <is>
          <t>UNQUOTED</t>
        </is>
      </c>
      <c r="B269" s="14" t="inlineStr">
        <is>
          <t>No matching catalog item found</t>
        </is>
      </c>
      <c r="C269" s="15" t="inlineStr">
        <is>
          <t>INSTALL</t>
        </is>
      </c>
      <c r="D269" s="15" t="inlineStr">
        <is>
          <t>each</t>
        </is>
      </c>
      <c r="E269" s="16" t="n">
        <v>0</v>
      </c>
      <c r="F269" s="17" t="n">
        <v>1</v>
      </c>
      <c r="G269" s="18">
        <f>E269*F269</f>
        <v/>
      </c>
      <c r="H269" s="13" t="inlineStr">
        <is>
          <t>Statement: Table row under EQUIPMENT NOTES: INSTALL 1.0x model ERICSSON ROUTER 6675 details INSTALLED IN 45RU PATHFINDER RACK RT/2/2 INSTALLED IN 45RU PATHFINDER RACK RT/2/2 with ID 18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70" ht="26" customHeight="1">
      <c r="A270" s="13" t="inlineStr">
        <is>
          <t>UNQUOTED</t>
        </is>
      </c>
      <c r="B270" s="14" t="inlineStr">
        <is>
          <t>No matching catalog item found</t>
        </is>
      </c>
      <c r="C270" s="15" t="inlineStr">
        <is>
          <t>INSTALL</t>
        </is>
      </c>
      <c r="D270" s="15" t="inlineStr">
        <is>
          <t>each</t>
        </is>
      </c>
      <c r="E270" s="16" t="n">
        <v>0</v>
      </c>
      <c r="F270" s="17" t="n">
        <v>1</v>
      </c>
      <c r="G270" s="18">
        <f>E270*F270</f>
        <v/>
      </c>
      <c r="H270" s="13" t="inlineStr">
        <is>
          <t>Statement: Table row under EQUIPMENT NOTES: INSTALL 1.0x model ERICSSON SITE INTEGRATION UNIT (SIU) details INSTALLED IN 45RU PATHFINDER RACK INSTALLED IN 45RU PATHFINDER RACK with ID 21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71" ht="26" customHeight="1">
      <c r="A271" s="13" t="inlineStr">
        <is>
          <t>UNQUOTED</t>
        </is>
      </c>
      <c r="B271" s="14" t="inlineStr">
        <is>
          <t>No matching catalog item found</t>
        </is>
      </c>
      <c r="C271" s="15" t="inlineStr">
        <is>
          <t>INSTALL</t>
        </is>
      </c>
      <c r="D271" s="15" t="inlineStr">
        <is>
          <t>each</t>
        </is>
      </c>
      <c r="E271" s="16" t="n">
        <v>0</v>
      </c>
      <c r="F271" s="17" t="n">
        <v>1</v>
      </c>
      <c r="G271" s="18">
        <f>E271*F271</f>
        <v/>
      </c>
      <c r="H271" s="13" t="inlineStr">
        <is>
          <t>Statement: Table row under EQUIPMENT NOTES: INSTALL 1.0x model CABLE GUIDE details INSTALLED IN 45RU PATHFINDER RACK RT/2/2 INSTALLED IN 45RU PATHFINDER RACK RT/2/2 with ID 24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72" ht="26" customHeight="1">
      <c r="A272" s="13" t="inlineStr">
        <is>
          <t>UNQUOTED</t>
        </is>
      </c>
      <c r="B272" s="14" t="inlineStr">
        <is>
          <t>No matching catalog item found</t>
        </is>
      </c>
      <c r="C272" s="15" t="inlineStr">
        <is>
          <t>INSTALL</t>
        </is>
      </c>
      <c r="D272" s="15" t="inlineStr">
        <is>
          <t>each</t>
        </is>
      </c>
      <c r="E272" s="16" t="n">
        <v>0</v>
      </c>
      <c r="F272" s="17" t="n">
        <v>1</v>
      </c>
      <c r="G272" s="18">
        <f>E272*F272</f>
        <v/>
      </c>
      <c r="H272" s="13" t="inlineStr">
        <is>
          <t>Statement: Table row under EQUIPMENT NOTES: INSTALL 1.0x model FIBRE MANAGEMENT TRAY details INSTALLED IN 45RU PATHFINDER RACK RT/2/2 INSTALLED IN 45RU PATHFINDER RACK RT/2/2 with ID 25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73" ht="26" customHeight="1">
      <c r="A273" s="13" t="inlineStr">
        <is>
          <t>UNQUOTED</t>
        </is>
      </c>
      <c r="B273" s="14" t="inlineStr">
        <is>
          <t>No matching catalog item found</t>
        </is>
      </c>
      <c r="C273" s="15" t="inlineStr">
        <is>
          <t>INSTALL</t>
        </is>
      </c>
      <c r="D273" s="15" t="inlineStr">
        <is>
          <t>each</t>
        </is>
      </c>
      <c r="E273" s="16" t="n">
        <v>0</v>
      </c>
      <c r="F273" s="17" t="n">
        <v>2</v>
      </c>
      <c r="G273" s="18">
        <f>E273*F273</f>
        <v/>
      </c>
      <c r="H273" s="13" t="inlineStr">
        <is>
          <t>Statement: Table row under EQUIPMENT NOTES: INSTALL 2.0x model SLIDE OUT FIBRE MANAGEMENT TRAY details TO BE INSTALLED IN 45RU PATHFINDER RACK RT/2/2 TO BE INSTALLED IN 45RU PATHFINDER RACK RT/2/2 with ID 26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74" ht="26" customHeight="1">
      <c r="A274" s="13" t="inlineStr">
        <is>
          <t>UNQUOTED</t>
        </is>
      </c>
      <c r="B274" s="14" t="inlineStr">
        <is>
          <t>No matching catalog item found</t>
        </is>
      </c>
      <c r="C274" s="15" t="inlineStr">
        <is>
          <t>INSTALL</t>
        </is>
      </c>
      <c r="D274" s="15" t="inlineStr">
        <is>
          <t>each</t>
        </is>
      </c>
      <c r="E274" s="16" t="n">
        <v>0</v>
      </c>
      <c r="F274" s="17" t="n">
        <v>3</v>
      </c>
      <c r="G274" s="18">
        <f>E274*F274</f>
        <v/>
      </c>
      <c r="H274" s="13" t="inlineStr">
        <is>
          <t>Statement: Table row under EQUIPMENT NOTES: INSTALL 3.0x model 4490 ADAPTOR SHELVES details TO BE INSTALLED IN DECON RGL-091 RACK AT RT/2/4 TO BE INSTALLED IN DECON RGL-091 RACK AT RT/2/4 with ID 27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75" ht="26" customHeight="1">
      <c r="A275" s="13" t="inlineStr">
        <is>
          <t>UNQUOTED</t>
        </is>
      </c>
      <c r="B275" s="14" t="inlineStr">
        <is>
          <t>No matching catalog item found</t>
        </is>
      </c>
      <c r="C275" s="15" t="inlineStr">
        <is>
          <t>INSTALL</t>
        </is>
      </c>
      <c r="D275" s="15" t="inlineStr">
        <is>
          <t>each</t>
        </is>
      </c>
      <c r="E275" s="16" t="n">
        <v>0</v>
      </c>
      <c r="F275" s="17" t="n">
        <v>1</v>
      </c>
      <c r="G275" s="18">
        <f>E275*F275</f>
        <v/>
      </c>
      <c r="H275" s="13" t="inlineStr">
        <is>
          <t>Statement: Table row under Equipment Notes Table: INSTALL 1.0x model RF JUMPER 1_5M N F TO SMA M details TSR951339/1500 TSR951339/1500 with ID 52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76" ht="26" customHeight="1">
      <c r="A276" s="13" t="inlineStr">
        <is>
          <t>UNQUOTED</t>
        </is>
      </c>
      <c r="B276" s="14" t="inlineStr">
        <is>
          <t>No matching catalog item found</t>
        </is>
      </c>
      <c r="C276" s="15" t="inlineStr">
        <is>
          <t>INSTALL</t>
        </is>
      </c>
      <c r="D276" s="15" t="inlineStr">
        <is>
          <t>each</t>
        </is>
      </c>
      <c r="E276" s="16" t="n">
        <v>0</v>
      </c>
      <c r="F276" s="17" t="n">
        <v>2</v>
      </c>
      <c r="G276" s="18">
        <f>E276*F276</f>
        <v/>
      </c>
      <c r="H276" s="13" t="inlineStr">
        <is>
          <t>Statement: Table row under MEMBER SCHEDULE (Right): INSTALL 2.0x model PROPOSED MAIN MOUNT Ø165.1 x 5.4 CHS - 2666mm LONG FOR SECTOR 3 details   with ID MP3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77" ht="26" customHeight="1">
      <c r="A277" s="13" t="inlineStr">
        <is>
          <t>UNQUOTED</t>
        </is>
      </c>
      <c r="B277" s="14" t="inlineStr">
        <is>
          <t>No matching catalog item found</t>
        </is>
      </c>
      <c r="C277" s="15" t="inlineStr">
        <is>
          <t>INSTALL</t>
        </is>
      </c>
      <c r="D277" s="15" t="inlineStr">
        <is>
          <t>each</t>
        </is>
      </c>
      <c r="E277" s="16" t="n">
        <v>0</v>
      </c>
      <c r="F277" s="17" t="n">
        <v>2</v>
      </c>
      <c r="G277" s="18">
        <f>E277*F277</f>
        <v/>
      </c>
      <c r="H277" s="13" t="inlineStr">
        <is>
          <t>Statement: Table row under MEMBER SCHEDULE (Right): INSTALL 2.0x model PROPOSED MAIN MOUNT Ø165.1 x 5.4 CHS - 2200mm LONG FOR SECTOR 3 details   with ID MP4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78" ht="26" customHeight="1">
      <c r="A278" s="13" t="inlineStr">
        <is>
          <t>UNQUOTED</t>
        </is>
      </c>
      <c r="B278" s="14" t="inlineStr">
        <is>
          <t>No matching catalog item found</t>
        </is>
      </c>
      <c r="C278" s="15" t="inlineStr">
        <is>
          <t>INSTALL</t>
        </is>
      </c>
      <c r="D278" s="15" t="inlineStr">
        <is>
          <t>each</t>
        </is>
      </c>
      <c r="E278" s="16" t="n">
        <v>0</v>
      </c>
      <c r="F278" s="17" t="n">
        <v>2</v>
      </c>
      <c r="G278" s="18">
        <f>E278*F278</f>
        <v/>
      </c>
      <c r="H278" s="13" t="inlineStr">
        <is>
          <t>Statement: Table row under MEMBER SCHEDULE (Right): INSTALL 2.0x model PROPOSED MAIN MOUNT Ø165.1 x 5.4 CHS - 1984mm LONG FOR SECTOR 3 details   with ID MP5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79" ht="26" customHeight="1">
      <c r="A279" s="13" t="inlineStr">
        <is>
          <t>UNQUOTED</t>
        </is>
      </c>
      <c r="B279" s="14" t="inlineStr">
        <is>
          <t>No matching catalog item found</t>
        </is>
      </c>
      <c r="C279" s="15" t="inlineStr">
        <is>
          <t>INSTALL</t>
        </is>
      </c>
      <c r="D279" s="15" t="inlineStr">
        <is>
          <t>each</t>
        </is>
      </c>
      <c r="E279" s="16" t="n">
        <v>0</v>
      </c>
      <c r="F279" s="17" t="n">
        <v>2</v>
      </c>
      <c r="G279" s="18">
        <f>E279*F279</f>
        <v/>
      </c>
      <c r="H279" s="13" t="inlineStr">
        <is>
          <t>Statement: Table row under MEMBER SCHEDULE (Right): INSTALL 2.0x model PROPOSED EXTENSION MOUNT Ø139.7 x 5.4 CHS - 1500mm LONG FOR SECTOR 2 details   with ID MP6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80" ht="26" customHeight="1">
      <c r="A280" s="13" t="inlineStr">
        <is>
          <t>UNQUOTED</t>
        </is>
      </c>
      <c r="B280" s="14" t="inlineStr">
        <is>
          <t>No matching catalog item found</t>
        </is>
      </c>
      <c r="C280" s="15" t="inlineStr">
        <is>
          <t>INSTALL</t>
        </is>
      </c>
      <c r="D280" s="15" t="inlineStr">
        <is>
          <t>each</t>
        </is>
      </c>
      <c r="E280" s="16" t="n">
        <v>0</v>
      </c>
      <c r="F280" s="17" t="n">
        <v>2</v>
      </c>
      <c r="G280" s="18">
        <f>E280*F280</f>
        <v/>
      </c>
      <c r="H280" s="13" t="inlineStr">
        <is>
          <t>Statement: Table row under MEMBER SCHEDULE (Right): INSTALL 2.0x model PROPOSED EXTENSION MOUNT Ø114.3 x 5.4 CHS - 600mm LONG FOR SECTOR 2 details   with ID MP7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81" ht="26" customHeight="1">
      <c r="A281" s="13" t="inlineStr">
        <is>
          <t>UNQUOTED</t>
        </is>
      </c>
      <c r="B281" s="14" t="inlineStr">
        <is>
          <t>No matching catalog item found</t>
        </is>
      </c>
      <c r="C281" s="15" t="inlineStr">
        <is>
          <t>INSTALL</t>
        </is>
      </c>
      <c r="D281" s="15" t="inlineStr">
        <is>
          <t>each</t>
        </is>
      </c>
      <c r="E281" s="16" t="n">
        <v>0</v>
      </c>
      <c r="F281" s="17" t="n">
        <v>2</v>
      </c>
      <c r="G281" s="18">
        <f>E281*F281</f>
        <v/>
      </c>
      <c r="H281" s="13" t="inlineStr">
        <is>
          <t>Statement: Table row under MEMBER SCHEDULE (Right): INSTALL 2.0x model PROPOSED 125 PFC - 3377mm LONG details   with ID B5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82" ht="26" customHeight="1">
      <c r="A282" s="13" t="inlineStr">
        <is>
          <t>UNQUOTED</t>
        </is>
      </c>
      <c r="B282" s="14" t="inlineStr">
        <is>
          <t>No matching catalog item found</t>
        </is>
      </c>
      <c r="C282" s="15" t="inlineStr">
        <is>
          <t>INSTALL</t>
        </is>
      </c>
      <c r="D282" s="15" t="inlineStr">
        <is>
          <t>each</t>
        </is>
      </c>
      <c r="E282" s="16" t="n">
        <v>0</v>
      </c>
      <c r="F282" s="17" t="n">
        <v>4</v>
      </c>
      <c r="G282" s="18">
        <f>E282*F282</f>
        <v/>
      </c>
      <c r="H282" s="13" t="inlineStr">
        <is>
          <t>Statement: Table row under MEMBER SCHEDULE (Right): INSTALL 4.0x model PROPOSED STANDOFF 75 x 6 SHS - 280mm LONG details   with ID B6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83" ht="26" customHeight="1">
      <c r="A283" s="13" t="inlineStr">
        <is>
          <t>UNQUOTED</t>
        </is>
      </c>
      <c r="B283" s="14" t="inlineStr">
        <is>
          <t>No matching catalog item found</t>
        </is>
      </c>
      <c r="C283" s="15" t="inlineStr">
        <is>
          <t>INSTALL</t>
        </is>
      </c>
      <c r="D283" s="15" t="inlineStr">
        <is>
          <t>each</t>
        </is>
      </c>
      <c r="E283" s="16" t="n">
        <v>0</v>
      </c>
      <c r="F283" s="17" t="n">
        <v>3</v>
      </c>
      <c r="G283" s="18">
        <f>E283*F283</f>
        <v/>
      </c>
      <c r="H283" s="13" t="inlineStr">
        <is>
          <t>Statement: Table row under MEMBER SCHEDULE (Right): INSTALL 3.0x model PROPOSED HORIZONTAL BRACE Ø88.9 x 5.9 CHS - 2400mm LONG details   with ID BR1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84" ht="26" customHeight="1">
      <c r="A284" s="13" t="inlineStr">
        <is>
          <t>UNQUOTED</t>
        </is>
      </c>
      <c r="B284" s="14" t="inlineStr">
        <is>
          <t>No matching catalog item found</t>
        </is>
      </c>
      <c r="C284" s="15" t="inlineStr">
        <is>
          <t>INSTALL</t>
        </is>
      </c>
      <c r="D284" s="15" t="inlineStr">
        <is>
          <t>each</t>
        </is>
      </c>
      <c r="E284" s="16" t="n">
        <v>0</v>
      </c>
      <c r="F284" s="17" t="n">
        <v>1</v>
      </c>
      <c r="G284" s="18">
        <f>E284*F284</f>
        <v/>
      </c>
      <c r="H284" s="13" t="inlineStr">
        <is>
          <t>Statement: Table row under MEMBER SCHEDULE (Right): INSTALL 1.0x model PROPOSED HORIZONTAL BRACE Ø88.9 x 5.9 CHS - 1400mm LONG details   with ID BR2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85" ht="26" customHeight="1">
      <c r="A285" s="13" t="inlineStr">
        <is>
          <t>UNQUOTED</t>
        </is>
      </c>
      <c r="B285" s="14" t="inlineStr">
        <is>
          <t>No matching catalog item found</t>
        </is>
      </c>
      <c r="C285" s="15" t="inlineStr">
        <is>
          <t>INSTALL</t>
        </is>
      </c>
      <c r="D285" s="15" t="inlineStr">
        <is>
          <t>each</t>
        </is>
      </c>
      <c r="E285" s="16" t="n">
        <v>0</v>
      </c>
      <c r="F285" s="17" t="n">
        <v>3</v>
      </c>
      <c r="G285" s="18">
        <f>E285*F285</f>
        <v/>
      </c>
      <c r="H285" s="13" t="inlineStr">
        <is>
          <t>Statement: Table row under MEMBER SCHEDULE (Right): INSTALL 3.0x model PROPOSED HORIZONTAL BRACE Ø88.9 x 5.9 CHS - 2150mm LONG details   with ID BR3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86" ht="26" customHeight="1">
      <c r="A286" s="13" t="inlineStr">
        <is>
          <t>UNQUOTED</t>
        </is>
      </c>
      <c r="B286" s="14" t="inlineStr">
        <is>
          <t>No matching catalog item found</t>
        </is>
      </c>
      <c r="C286" s="15" t="inlineStr">
        <is>
          <t>INSTALL</t>
        </is>
      </c>
      <c r="D286" s="15" t="inlineStr">
        <is>
          <t>each</t>
        </is>
      </c>
      <c r="E286" s="16" t="n">
        <v>0</v>
      </c>
      <c r="F286" s="17" t="n">
        <v>2</v>
      </c>
      <c r="G286" s="18">
        <f>E286*F286</f>
        <v/>
      </c>
      <c r="H286" s="13" t="inlineStr">
        <is>
          <t>Statement: Table row under MEMBER SCHEDULE (Right): INSTALL 2.0x model PROPOSED DIAGONAL BRACE 75 x 6 EA - 4200mm LONG details   with ID BR5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87" ht="26" customHeight="1">
      <c r="A287" s="13" t="inlineStr">
        <is>
          <t>UNQUOTED</t>
        </is>
      </c>
      <c r="B287" s="14" t="inlineStr">
        <is>
          <t>No matching catalog item found</t>
        </is>
      </c>
      <c r="C287" s="15" t="inlineStr">
        <is>
          <t>INSTALL</t>
        </is>
      </c>
      <c r="D287" s="15" t="inlineStr">
        <is>
          <t>each</t>
        </is>
      </c>
      <c r="E287" s="16" t="n">
        <v>0</v>
      </c>
      <c r="F287" s="17" t="n">
        <v>42</v>
      </c>
      <c r="G287" s="18">
        <f>E287*F287</f>
        <v/>
      </c>
      <c r="H287" s="13" t="inlineStr">
        <is>
          <t>Statement: Table row under MEMBER SCHEDULE (Right): INSTALL 42.0x model PROPOSED M12 U-BOLTS TO SUIT Ø139.7 CHS. TO FIX EP1/EP2 TO PL4/PL5 details   with ID UB1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88" ht="26" customHeight="1">
      <c r="A288" s="13" t="inlineStr">
        <is>
          <t>UNQUOTED</t>
        </is>
      </c>
      <c r="B288" s="14" t="inlineStr">
        <is>
          <t>No matching catalog item found</t>
        </is>
      </c>
      <c r="C288" s="15" t="inlineStr">
        <is>
          <t>INSTALL</t>
        </is>
      </c>
      <c r="D288" s="15" t="inlineStr">
        <is>
          <t>each</t>
        </is>
      </c>
      <c r="E288" s="16" t="n">
        <v>0</v>
      </c>
      <c r="F288" s="17" t="n">
        <v>28</v>
      </c>
      <c r="G288" s="18">
        <f>E288*F288</f>
        <v/>
      </c>
      <c r="H288" s="13" t="inlineStr">
        <is>
          <t>Statement: Table row under MEMBER SCHEDULE (Right): INSTALL 28.0x model PROPOSED M12 U-BOLTS TO SUIT Ø165.1 CHS. TO FIX MP3 TO PL6/PL7/PL9 details   with ID UB2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89" ht="26" customHeight="1">
      <c r="A289" s="13" t="inlineStr">
        <is>
          <t>UNQUOTED</t>
        </is>
      </c>
      <c r="B289" s="14" t="inlineStr">
        <is>
          <t>No matching catalog item found</t>
        </is>
      </c>
      <c r="C289" s="15" t="inlineStr">
        <is>
          <t>INSTALL</t>
        </is>
      </c>
      <c r="D289" s="15" t="inlineStr">
        <is>
          <t>each</t>
        </is>
      </c>
      <c r="E289" s="16" t="n">
        <v>0</v>
      </c>
      <c r="F289" s="17" t="n">
        <v>32</v>
      </c>
      <c r="G289" s="18">
        <f>E289*F289</f>
        <v/>
      </c>
      <c r="H289" s="13" t="inlineStr">
        <is>
          <t>Statement: Table row under MEMBER SCHEDULE (Right): INSTALL 32.0x model PROPOSED M12 U-BOLTS TO SUIT Ø76.1 CHS. TO FIX AM1 TO PL3/PL10 details   with ID UB3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90" ht="26" customHeight="1">
      <c r="A290" s="13" t="inlineStr">
        <is>
          <t>UNQUOTED</t>
        </is>
      </c>
      <c r="B290" s="14" t="inlineStr">
        <is>
          <t>No matching catalog item found</t>
        </is>
      </c>
      <c r="C290" s="15" t="inlineStr">
        <is>
          <t>INSTALL</t>
        </is>
      </c>
      <c r="D290" s="15" t="inlineStr">
        <is>
          <t>each</t>
        </is>
      </c>
      <c r="E290" s="16" t="n">
        <v>0</v>
      </c>
      <c r="F290" s="17" t="n">
        <v>38</v>
      </c>
      <c r="G290" s="18">
        <f>E290*F290</f>
        <v/>
      </c>
      <c r="H290" s="13" t="inlineStr">
        <is>
          <t>Statement: Table row under MEMBER SCHEDULE (Right): INSTALL 38.0x model PROPOSED M12 U-BOLTS TO SUIT Ø88.9 CHS. TO FIX BR1/BR2/BR4 TO PL5/PL11 details   with ID UB4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91" ht="26" customHeight="1">
      <c r="A291" s="13" t="inlineStr">
        <is>
          <t>UNQUOTED</t>
        </is>
      </c>
      <c r="B291" s="14" t="inlineStr">
        <is>
          <t>No matching catalog item found</t>
        </is>
      </c>
      <c r="C291" s="15" t="inlineStr">
        <is>
          <t>INSTALL</t>
        </is>
      </c>
      <c r="D291" s="15" t="inlineStr">
        <is>
          <t>each</t>
        </is>
      </c>
      <c r="E291" s="16" t="n">
        <v>0</v>
      </c>
      <c r="F291" s="17" t="n">
        <v>8</v>
      </c>
      <c r="G291" s="18">
        <f>E291*F291</f>
        <v/>
      </c>
      <c r="H291" s="13" t="inlineStr">
        <is>
          <t>Statement: Table row under MEMBER SCHEDULE (Right): INSTALL 8.0x model PROPOSED M12 U-BOLTS TO SUIT 125PFC TO FIX MP3/MP4 TO PL8 details   with ID UB5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92" ht="26" customHeight="1">
      <c r="A292" s="13" t="inlineStr">
        <is>
          <t>UNQUOTED</t>
        </is>
      </c>
      <c r="B292" s="14" t="inlineStr">
        <is>
          <t>No matching catalog item found</t>
        </is>
      </c>
      <c r="C292" s="15" t="inlineStr">
        <is>
          <t>INSTALL</t>
        </is>
      </c>
      <c r="D292" s="15" t="inlineStr">
        <is>
          <t>each</t>
        </is>
      </c>
      <c r="E292" s="16" t="n">
        <v>0</v>
      </c>
      <c r="F292" s="17" t="n">
        <v>8</v>
      </c>
      <c r="G292" s="18">
        <f>E292*F292</f>
        <v/>
      </c>
      <c r="H292" s="13" t="inlineStr">
        <is>
          <t>Statement: Table row under MEMBER SCHEDULE: INSTALL 8.0x model PROPOSED M16 x 180mm LONG THROUGH BOLTS WITH NUT AND WASHER (GR. 8.8) TO FIX EP2 TO MP7 details   with ID PROPOSED M16 x 180mm LONG THROUGH BOLTS WITH NUT AND WASHER (GR. 8.8) TO FIX EP2 TO MP7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93" ht="26" customHeight="1">
      <c r="A293" s="13" t="inlineStr">
        <is>
          <t>UNQUOTED</t>
        </is>
      </c>
      <c r="B293" s="14" t="inlineStr">
        <is>
          <t>No matching catalog item found</t>
        </is>
      </c>
      <c r="C293" s="15" t="inlineStr">
        <is>
          <t>INSTALL</t>
        </is>
      </c>
      <c r="D293" s="15" t="inlineStr">
        <is>
          <t>each</t>
        </is>
      </c>
      <c r="E293" s="16" t="n">
        <v>0</v>
      </c>
      <c r="F293" s="17" t="n">
        <v>36</v>
      </c>
      <c r="G293" s="18">
        <f>E293*F293</f>
        <v/>
      </c>
      <c r="H293" s="13" t="inlineStr">
        <is>
          <t>Statement: Table row under MEMBER SCHEDULE: INSTALL 36.0x model PROPOSED M16 x 60mm BOLTS WITH NUT AND WASHER (GR 8.8) TO FIX SPLICE PLATE details   with ID PROPOSED M16 x 60mm BOLTS WITH NUT AND WASHER (GR 8.8) TO FIX SPLICE PLATE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94" ht="26" customHeight="1">
      <c r="A294" s="13" t="inlineStr">
        <is>
          <t>UNQUOTED</t>
        </is>
      </c>
      <c r="B294" s="14" t="inlineStr">
        <is>
          <t>No matching catalog item found</t>
        </is>
      </c>
      <c r="C294" s="15" t="inlineStr">
        <is>
          <t>INSTALL</t>
        </is>
      </c>
      <c r="D294" s="15" t="inlineStr">
        <is>
          <t>each</t>
        </is>
      </c>
      <c r="E294" s="16" t="n">
        <v>0</v>
      </c>
      <c r="F294" s="17" t="n">
        <v>4</v>
      </c>
      <c r="G294" s="18">
        <f>E294*F294</f>
        <v/>
      </c>
      <c r="H294" s="13" t="inlineStr">
        <is>
          <t>Statement: Table row under MEMBER SCHEDULE: INSTALL 4.0x model PROPOSED M16 x 240mm LONG THROUGH BOLTS WITH NUT AND WASHER (GR. 8.8) TO FIX L-ANGLE TO EXISITNG 200 x 5 CHS details   with ID PROPOSED M16 x 240mm LONG THROUGH BOLTS WITH NUT AND WASHER (GR. 8.8) TO FIX L-ANGLE TO EXISITNG 200 x 5 CHS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95" ht="26" customHeight="1">
      <c r="A295" s="13" t="inlineStr">
        <is>
          <t>UNQUOTED</t>
        </is>
      </c>
      <c r="B295" s="14" t="inlineStr">
        <is>
          <t>No matching catalog item found</t>
        </is>
      </c>
      <c r="C295" s="15" t="inlineStr">
        <is>
          <t>INSTALL</t>
        </is>
      </c>
      <c r="D295" s="15" t="inlineStr">
        <is>
          <t>each</t>
        </is>
      </c>
      <c r="E295" s="16" t="n">
        <v>0</v>
      </c>
      <c r="F295" s="17" t="n">
        <v>8</v>
      </c>
      <c r="G295" s="18">
        <f>E295*F295</f>
        <v/>
      </c>
      <c r="H295" s="13" t="inlineStr">
        <is>
          <t>Statement: Table row under MEMBER SCHEDULE: INSTALL 8.0x model PROPOSED M16 x 200mm LONG THROUGH BOLTS WITH NUT AND WASHER (GR 8.8) TO FIX PLATE12 TO PLATE12 details   with ID PROPOSED M16 x 200mm LONG THROUGH BOLTS WITH NUT AND WASHER (GR 8.8) TO FIX PLATE12 TO PLATE12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96" ht="26" customHeight="1">
      <c r="A296" s="13" t="inlineStr">
        <is>
          <t>UNQUOTED</t>
        </is>
      </c>
      <c r="B296" s="14" t="inlineStr">
        <is>
          <t>No matching catalog item found</t>
        </is>
      </c>
      <c r="C296" s="15" t="inlineStr">
        <is>
          <t>INSTALL</t>
        </is>
      </c>
      <c r="D296" s="15" t="inlineStr">
        <is>
          <t>each</t>
        </is>
      </c>
      <c r="E296" s="16" t="n">
        <v>0</v>
      </c>
      <c r="F296" s="17" t="n">
        <v>8</v>
      </c>
      <c r="G296" s="18">
        <f>E296*F296</f>
        <v/>
      </c>
      <c r="H296" s="13" t="inlineStr">
        <is>
          <t>Statement: Table row under MEMBER SCHEDULE: INSTALL 8.0x model PROPOSED M16 x 50mm BOLTS WITH NUT AND WASHER (GR 8.8) TO FIX B5 TO PLATE12/L-ANGLE AND FIX BR5 TO EXISTING CLEAT PLATE details   with ID PROPOSED M16 x 50mm BOLTS WITH NUT AND WASHER (GR 8.8) TO FIX B5 TO PLATE12/L-ANGLE AND FIX BR5 TO EXISTING CLEAT PLATE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97" ht="26" customHeight="1">
      <c r="A297" s="13" t="inlineStr">
        <is>
          <t>UNQUOTED</t>
        </is>
      </c>
      <c r="B297" s="14" t="inlineStr">
        <is>
          <t>No matching catalog item found</t>
        </is>
      </c>
      <c r="C297" s="15" t="inlineStr">
        <is>
          <t>INSTALL</t>
        </is>
      </c>
      <c r="D297" s="15" t="inlineStr">
        <is>
          <t>each</t>
        </is>
      </c>
      <c r="E297" s="16" t="n">
        <v>0</v>
      </c>
      <c r="F297" s="17" t="n">
        <v>4</v>
      </c>
      <c r="G297" s="18">
        <f>E297*F297</f>
        <v/>
      </c>
      <c r="H297" s="13" t="inlineStr">
        <is>
          <t>Statement: Table row under MEMBER SCHEDULE: INSTALL 4.0x model PROPOSED M16 x 40mm BOLTS WITH NUT AND WASHER (GR 8.8) TO FIX BR5 TO EXISTING CLEAT PLATE) details   with ID PROPOSED M16 x 40mm BOLTS WITH NUT AND WASHER (GR 8.8) TO FIX BR5 TO EXISTING CLEAT PLATE) on sector -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298" ht="26" customHeight="1">
      <c r="A298" s="13" t="inlineStr">
        <is>
          <t>UNQUOTED</t>
        </is>
      </c>
      <c r="B298" s="14" t="inlineStr">
        <is>
          <t>No matching SOR found</t>
        </is>
      </c>
      <c r="C298" s="15" t="inlineStr">
        <is>
          <t>REPLACE</t>
        </is>
      </c>
      <c r="D298" s="15" t="inlineStr">
        <is>
          <t>each</t>
        </is>
      </c>
      <c r="E298" s="16" t="n">
        <v>0</v>
      </c>
      <c r="F298" s="17" t="n">
        <v>1</v>
      </c>
      <c r="G298" s="18">
        <f>E298*F298</f>
        <v/>
      </c>
      <c r="H298" s="13" t="inlineStr">
        <is>
          <t>Statement: EXISTING TELSTRA #6 SIGN SECURED FIXED
ON THE EXISTING POLE 1.5m ARLTO BE
REPLACED WITH NEW EME #4 SIGNAGE -&gt; Rules Applied: None -&gt; Match Reason: Matched via similarity score 0.0%</t>
        </is>
      </c>
    </row>
    <row r="299" ht="26" customHeight="1">
      <c r="A299" s="13" t="inlineStr">
        <is>
          <t>UNQUOTED</t>
        </is>
      </c>
      <c r="B299" s="14" t="inlineStr">
        <is>
          <t>No matching SOR found</t>
        </is>
      </c>
      <c r="C299" s="15" t="inlineStr">
        <is>
          <t>RELOCATE</t>
        </is>
      </c>
      <c r="D299" s="15" t="inlineStr">
        <is>
          <t>each</t>
        </is>
      </c>
      <c r="E299" s="16" t="n">
        <v>0</v>
      </c>
      <c r="F299" s="17" t="n">
        <v>1</v>
      </c>
      <c r="G299" s="18">
        <f>E299*F299</f>
        <v/>
      </c>
      <c r="H299" s="13" t="inlineStr">
        <is>
          <t>Statement: EXISTING SIGN SECURED TO CHAIN
BARRIER TO BE RELOCATED ON
PROPOSED CHAIN BARRIER -&gt; Rules Applied: One Panel antenna relocation, Tower Mounted Device Relocation, Remote Radio Unit (RRU) Relocation -&gt; Match Reason: Matched via similarity score 0.0%</t>
        </is>
      </c>
    </row>
    <row r="300" ht="26" customHeight="1">
      <c r="A300" s="13" t="inlineStr">
        <is>
          <t>UNQUOTED</t>
        </is>
      </c>
      <c r="B300" s="14" t="inlineStr">
        <is>
          <t>No matching catalog item found</t>
        </is>
      </c>
      <c r="C300" s="15" t="inlineStr">
        <is>
          <t>INSTALL</t>
        </is>
      </c>
      <c r="D300" s="15" t="inlineStr">
        <is>
          <t>each</t>
        </is>
      </c>
      <c r="E300" s="16" t="n">
        <v>0</v>
      </c>
      <c r="F300" s="17" t="n">
        <v>1</v>
      </c>
      <c r="G300" s="18">
        <f>E300*F300</f>
        <v/>
      </c>
      <c r="H300" s="13" t="inlineStr">
        <is>
          <t>Statement: PROPOSED TELSTRA STEEL SUPPORT
STRUCTURE TO BE INSTALLED FOR
SECTOR 3 BEHIND SECTOR 1 -&gt;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01" ht="26" customHeight="1">
      <c r="A301" s="13" t="inlineStr">
        <is>
          <t>UNQUOTED</t>
        </is>
      </c>
      <c r="B301" s="14" t="inlineStr">
        <is>
          <t>No matching SOR found</t>
        </is>
      </c>
      <c r="C301" s="15" t="inlineStr">
        <is>
          <t>INSTALL</t>
        </is>
      </c>
      <c r="D301" s="15" t="inlineStr">
        <is>
          <t>each</t>
        </is>
      </c>
      <c r="E301" s="16" t="n">
        <v>0</v>
      </c>
      <c r="F301" s="17" t="n">
        <v>1</v>
      </c>
      <c r="G301" s="18">
        <f>E301*F301</f>
        <v/>
      </c>
      <c r="H301" s="13" t="inlineStr">
        <is>
          <t>Statement: PROPOSED TELSTRA #4 SIGN
SECURED FIXED ON THE
PROPOSED POLE 1.5m ARL -&gt; Rules Applied: One panel Antenna, One 5G AAU - first, GPS system, Tower Mounted Device (TMA, COM, FILTER), Remote Radio Unit (RRU), External Combiner, One panel Antenna - extra over, One 5G AAU - extra over, RRU x 1 - Extra over W12252 -&gt; Match Reason: Matched via similarity score 0.0%</t>
        </is>
      </c>
    </row>
    <row r="302" ht="26" customHeight="1">
      <c r="A302" s="13" t="inlineStr">
        <is>
          <t>UNQUOTED</t>
        </is>
      </c>
      <c r="B302" s="14" t="inlineStr">
        <is>
          <t>No matching catalog item found</t>
        </is>
      </c>
      <c r="C302" s="15" t="inlineStr">
        <is>
          <t>INSTALL</t>
        </is>
      </c>
      <c r="D302" s="15" t="inlineStr">
        <is>
          <t>each</t>
        </is>
      </c>
      <c r="E302" s="16" t="n">
        <v>0</v>
      </c>
      <c r="F302" s="17" t="n">
        <v>1</v>
      </c>
      <c r="G302" s="18">
        <f>E302*F302</f>
        <v/>
      </c>
      <c r="H302" s="13" t="inlineStr">
        <is>
          <t>Statement: PROPOSED TELSTRA SIGN SECURED FIXED TO CHAIN BARRIER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03" ht="26" customHeight="1">
      <c r="A303" s="13" t="inlineStr">
        <is>
          <t>UNQUOTED</t>
        </is>
      </c>
      <c r="B303" s="14" t="inlineStr">
        <is>
          <t>No matching SOR found</t>
        </is>
      </c>
      <c r="C303" s="15" t="inlineStr">
        <is>
          <t>REPLACE</t>
        </is>
      </c>
      <c r="D303" s="15" t="inlineStr">
        <is>
          <t>each</t>
        </is>
      </c>
      <c r="E303" s="16" t="n">
        <v>0</v>
      </c>
      <c r="F303" s="17" t="n">
        <v>1</v>
      </c>
      <c r="G303" s="18">
        <f>E303*F303</f>
        <v/>
      </c>
      <c r="H303" s="13" t="inlineStr">
        <is>
          <t>Statement: EXISTING TELSTRA #6 SIGN SECURED
FIXED ON THE EXISTING POLE TO BE
REPLACED WITH NEW EME #4 SIGNAGE -&gt; Rules Applied: None -&gt; Match Reason: Matched via similarity score 0.0%</t>
        </is>
      </c>
    </row>
    <row r="304" ht="26" customHeight="1">
      <c r="A304" s="13" t="inlineStr">
        <is>
          <t>UNQUOTED</t>
        </is>
      </c>
      <c r="B304" s="14" t="inlineStr">
        <is>
          <t>No matching catalog item found</t>
        </is>
      </c>
      <c r="C304" s="15" t="inlineStr">
        <is>
          <t>RETAIN</t>
        </is>
      </c>
      <c r="D304" s="15" t="inlineStr">
        <is>
          <t>each</t>
        </is>
      </c>
      <c r="E304" s="16" t="n">
        <v>0</v>
      </c>
      <c r="F304" s="17" t="n">
        <v>1</v>
      </c>
      <c r="G304" s="18">
        <f>E304*F304</f>
        <v/>
      </c>
      <c r="H304" s="13" t="inlineStr">
        <is>
          <t>Statement: EXISTING TELSTRA EQUIPMENT SHELTER TO
ACCOMMODATE PROPOSED TELSTRA
EQUIPMENT. REFER TO SHEET E1 FOR DETAILS -&gt; Rules Applied: None -&gt; Match Reason: No catalog candidate satisfied the requirements.</t>
        </is>
      </c>
    </row>
    <row r="305" ht="26" customHeight="1">
      <c r="A305" s="13" t="inlineStr">
        <is>
          <t>UNQUOTED</t>
        </is>
      </c>
      <c r="B305" s="14" t="inlineStr">
        <is>
          <t>No matching SOR found</t>
        </is>
      </c>
      <c r="C305" s="15" t="inlineStr">
        <is>
          <t>REMOVE</t>
        </is>
      </c>
      <c r="D305" s="15" t="inlineStr">
        <is>
          <t>each</t>
        </is>
      </c>
      <c r="E305" s="16" t="n">
        <v>0</v>
      </c>
      <c r="F305" s="17" t="n">
        <v>4</v>
      </c>
      <c r="G305" s="18">
        <f>E305*F305</f>
        <v/>
      </c>
      <c r="H305" s="13" t="inlineStr">
        <is>
          <t>Statement: EXISTING TELSTRA W&amp;B 7/8" HYBRID CABLE (1 OFF,
S3), RFS LCF78-50JA FEEDERS (2 OFF, S3) AND RFS
7/8" HYBRID CABLE (1 OFF, S3) TO BE RECOVERED
FROM EXISTING TELSTRA 300W CABLE LADDER -&gt; Rules Applied: Remove Panel Antenna or tower mounted device, Recover GPS system, Tower Mounted Device Removal, Remote Radio Unit (RRU) Removal -&gt; Match Reason: Matched via similarity score 0.0%</t>
        </is>
      </c>
    </row>
    <row r="306" ht="26" customHeight="1">
      <c r="A306" s="13" t="inlineStr">
        <is>
          <t>UNQUOTED</t>
        </is>
      </c>
      <c r="B306" s="14" t="inlineStr">
        <is>
          <t>No matching catalog item found</t>
        </is>
      </c>
      <c r="C306" s="15" t="inlineStr">
        <is>
          <t>RETAIN</t>
        </is>
      </c>
      <c r="D306" s="15" t="inlineStr">
        <is>
          <t>each</t>
        </is>
      </c>
      <c r="E306" s="16" t="n">
        <v>0</v>
      </c>
      <c r="F306" s="17" t="n">
        <v>1</v>
      </c>
      <c r="G306" s="18">
        <f>E306*F306</f>
        <v/>
      </c>
      <c r="H306" s="13" t="inlineStr">
        <is>
          <t>Statement: EXISTING TELSTRA EQUIPMENT SHELTER TO ACCOMMODATE PROPOSED
TELSTRA EQUIPMENT. REFER TO SHEET E1 FOR DETAILS -&gt; Rules Applied: None -&gt; Match Reason: No catalog candidate satisfied the requirements.</t>
        </is>
      </c>
    </row>
    <row r="307" ht="26" customHeight="1">
      <c r="A307" s="13" t="inlineStr">
        <is>
          <t>UNQUOTED</t>
        </is>
      </c>
      <c r="B307" s="14" t="inlineStr">
        <is>
          <t>No matching SOR found</t>
        </is>
      </c>
      <c r="C307" s="15" t="inlineStr">
        <is>
          <t>INSTALL</t>
        </is>
      </c>
      <c r="D307" s="15" t="inlineStr">
        <is>
          <t>each</t>
        </is>
      </c>
      <c r="E307" s="16" t="n">
        <v>0</v>
      </c>
      <c r="F307" s="17" t="n">
        <v>1</v>
      </c>
      <c r="G307" s="18">
        <f>E307*F307</f>
        <v/>
      </c>
      <c r="H307" s="13" t="inlineStr">
        <is>
          <t>Statement: PROPOSED TELSTRA 150mm WIDE CABLE
TRAY FOR SECTOR 3 TO ACCOMMODATE
PROPOSED TELSTRA W&amp;B 7/8" HYBRID
CABLE (1 OFF) FOR LTE1800/LTE2100/NR/
LTE2600/NR3600 AND RFS LCF114-50J
FEEDERS (2 OFF) FOR LTE700/NR850
10 -&gt; Rules Applied: One panel Antenna, One 5G AAU - first, GPS system, Tower Mounted Device (TMA, COM, FILTER), Remote Radio Unit (RRU), External Combiner, One panel Antenna - extra over, One 5G AAU - extra over, RRU x 1 - Extra over W12252 -&gt; Match Reason: Matched via similarity score 0.0%</t>
        </is>
      </c>
    </row>
    <row r="308" ht="26" customHeight="1">
      <c r="A308" s="13" t="inlineStr">
        <is>
          <t>UNQUOTED</t>
        </is>
      </c>
      <c r="B308" s="14" t="inlineStr">
        <is>
          <t>No matching SOR found</t>
        </is>
      </c>
      <c r="C308" s="15" t="inlineStr">
        <is>
          <t>REPLACE</t>
        </is>
      </c>
      <c r="D308" s="15" t="inlineStr">
        <is>
          <t>each</t>
        </is>
      </c>
      <c r="E308" s="16" t="n">
        <v>0</v>
      </c>
      <c r="F308" s="17" t="n">
        <v>1</v>
      </c>
      <c r="G308" s="18">
        <f>E308*F308</f>
        <v/>
      </c>
      <c r="H308" s="13" t="inlineStr">
        <is>
          <t>Statement: EXISTING TELSTRA LTE700 GPS ANTENNA (1 OFF A10) TO BE REPLACED WITH PROPOSED TELSTRA KAELUS KA-7005-1110 GPS ANTENNA (1 OFF A10) TO BE INSTALLED AT 4.4m USING STANDARD MOUNT ON EXISTING MOUNT. EXISTING GPS SURGE ARRESTER (1 OFF) TO BE REUSED -&gt; Rules Applied: None -&gt; Match Reason: Matched via similarity score 0.0%</t>
        </is>
      </c>
    </row>
    <row r="309" ht="26" customHeight="1">
      <c r="A309" s="13" t="inlineStr">
        <is>
          <t>UNQUOTED</t>
        </is>
      </c>
      <c r="B309" s="14" t="inlineStr">
        <is>
          <t>No matching catalog item found</t>
        </is>
      </c>
      <c r="C309" s="15" t="inlineStr">
        <is>
          <t>RETAIN</t>
        </is>
      </c>
      <c r="D309" s="15" t="inlineStr">
        <is>
          <t>each</t>
        </is>
      </c>
      <c r="E309" s="16" t="n">
        <v>0</v>
      </c>
      <c r="F309" s="17" t="n">
        <v>1</v>
      </c>
      <c r="G309" s="18">
        <f>E309*F309</f>
        <v/>
      </c>
      <c r="H309" s="13" t="inlineStr">
        <is>
          <t>Statement: EXISTING TELSTRA 12.3 WAY SPD BOX (1 OFF)
INSTALLED ON EXTERNAL WALL IN
WEATHERPROOF ENCLOSURE TO BE REUSED -&gt; Rules Applied: None -&gt; Match Reason: No catalog candidate satisfied the requirements.</t>
        </is>
      </c>
    </row>
    <row r="310" ht="26" customHeight="1">
      <c r="A310" s="13" t="inlineStr">
        <is>
          <t>UNQUOTED</t>
        </is>
      </c>
      <c r="B310" s="14" t="inlineStr">
        <is>
          <t>No matching catalog item found</t>
        </is>
      </c>
      <c r="C310" s="15" t="inlineStr">
        <is>
          <t>INSTALL</t>
        </is>
      </c>
      <c r="D310" s="15" t="inlineStr">
        <is>
          <t>each</t>
        </is>
      </c>
      <c r="E310" s="16" t="n">
        <v>0</v>
      </c>
      <c r="F310" s="17" t="n">
        <v>1</v>
      </c>
      <c r="G310" s="18">
        <f>E310*F310</f>
        <v/>
      </c>
      <c r="H310" s="13" t="inlineStr">
        <is>
          <t>Statement: 125A 1 x 70mm² TO PROPOSED KEREM PDP 100 RT/2/4
125A 1 x 70mm² TO PROPOSED DCDU RT/2/2
VACANT
VACANT
SPARE
6A 1 x 2.5mm² SIU-02 ONE RT/2/3/7
SPARE
SPARE
SPARE
SPARE
SPARE
SPARE
10A FAN
4A SHELTER ENVIRONMENT CONTROL
VACANT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11" ht="26" customHeight="1">
      <c r="A311" s="13" t="inlineStr">
        <is>
          <t>UNQUOTED</t>
        </is>
      </c>
      <c r="B311" s="14" t="inlineStr">
        <is>
          <t>No matching catalog item found</t>
        </is>
      </c>
      <c r="C311" s="15" t="inlineStr">
        <is>
          <t>INSTALL</t>
        </is>
      </c>
      <c r="D311" s="15" t="inlineStr">
        <is>
          <t>each</t>
        </is>
      </c>
      <c r="E311" s="16" t="n">
        <v>0</v>
      </c>
      <c r="F311" s="17" t="n">
        <v>1</v>
      </c>
      <c r="G311" s="18">
        <f>E311*F311</f>
        <v/>
      </c>
      <c r="H311" s="13" t="inlineStr">
        <is>
          <t>Statement: PROPOSED TELSTRA SLIDE OUT FIBRE MGMT TRAYS (2 OFF), RP6672 (1 OFF) &amp; DCDU (1 OFF)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12" ht="26" customHeight="1">
      <c r="A312" s="13" t="inlineStr">
        <is>
          <t>UNQUOTED</t>
        </is>
      </c>
      <c r="B312" s="14" t="inlineStr">
        <is>
          <t>No matching catalog item found</t>
        </is>
      </c>
      <c r="C312" s="15" t="inlineStr">
        <is>
          <t>RELOCATE</t>
        </is>
      </c>
      <c r="D312" s="15" t="inlineStr">
        <is>
          <t>each</t>
        </is>
      </c>
      <c r="E312" s="16" t="n">
        <v>0</v>
      </c>
      <c r="F312" s="17" t="n">
        <v>1</v>
      </c>
      <c r="G312" s="18">
        <f>E312*F312</f>
        <v/>
      </c>
      <c r="H312" s="13" t="inlineStr">
        <is>
          <t>Statement: EXISTING TELSTRA R6675 (1 OFF) TO BE RELOCATED FROM RT/2/2/9 TO RT/2/2/29 -&gt; Rules Applied: One Panel antenna relocation, Tower Mounted Device Relocation, Remote Radio Unit (RRU) Relocation -&gt; Match Reason: No catalog candidate satisfied the requirements.</t>
        </is>
      </c>
    </row>
    <row r="313" ht="26" customHeight="1">
      <c r="A313" s="13" t="inlineStr">
        <is>
          <t>UNQUOTED</t>
        </is>
      </c>
      <c r="B313" s="14" t="inlineStr">
        <is>
          <t>No matching catalog item found</t>
        </is>
      </c>
      <c r="C313" s="15" t="inlineStr">
        <is>
          <t>INSTALL</t>
        </is>
      </c>
      <c r="D313" s="15" t="inlineStr">
        <is>
          <t>each</t>
        </is>
      </c>
      <c r="E313" s="16" t="n">
        <v>0</v>
      </c>
      <c r="F313" s="17" t="n">
        <v>1</v>
      </c>
      <c r="G313" s="18">
        <f>E313*F313</f>
        <v/>
      </c>
      <c r="H313" s="13" t="inlineStr">
        <is>
          <t>Statement: PROPOSED TELSTRA KEREM A100 PDP (1 OFF)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14" ht="26" customHeight="1">
      <c r="A314" s="13" t="inlineStr">
        <is>
          <t>UNQUOTED</t>
        </is>
      </c>
      <c r="B314" s="14" t="inlineStr">
        <is>
          <t>No matching catalog item found</t>
        </is>
      </c>
      <c r="C314" s="15" t="inlineStr">
        <is>
          <t>INSTALL</t>
        </is>
      </c>
      <c r="D314" s="15" t="inlineStr">
        <is>
          <t>each</t>
        </is>
      </c>
      <c r="E314" s="16" t="n">
        <v>0</v>
      </c>
      <c r="F314" s="17" t="n">
        <v>1</v>
      </c>
      <c r="G314" s="18">
        <f>E314*F314</f>
        <v/>
      </c>
      <c r="H314" s="13" t="inlineStr">
        <is>
          <t>Statement: PROPOSED LANYARD
ANCHOR (TYP.)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15" ht="26" customHeight="1">
      <c r="A315" s="13" t="inlineStr">
        <is>
          <t>UNQUOTED</t>
        </is>
      </c>
      <c r="B315" s="14" t="inlineStr">
        <is>
          <t>No matching catalog item found</t>
        </is>
      </c>
      <c r="C315" s="15" t="inlineStr">
        <is>
          <t>INSTALL</t>
        </is>
      </c>
      <c r="D315" s="15" t="inlineStr">
        <is>
          <t>each</t>
        </is>
      </c>
      <c r="E315" s="16" t="n">
        <v>0</v>
      </c>
      <c r="F315" s="17" t="n">
        <v>1</v>
      </c>
      <c r="G315" s="18">
        <f>E315*F315</f>
        <v/>
      </c>
      <c r="H315" s="13" t="inlineStr">
        <is>
          <t>Statement: PROPOSED TELSTRA
LEASE AREA (TYP.)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16" ht="26" customHeight="1">
      <c r="A316" s="13" t="inlineStr">
        <is>
          <t>UNQUOTED</t>
        </is>
      </c>
      <c r="B316" s="14" t="inlineStr">
        <is>
          <t>No matching catalog item found</t>
        </is>
      </c>
      <c r="C316" s="15" t="inlineStr">
        <is>
          <t>INSTALL</t>
        </is>
      </c>
      <c r="D316" s="15" t="inlineStr">
        <is>
          <t>each</t>
        </is>
      </c>
      <c r="E316" s="16" t="n">
        <v>0</v>
      </c>
      <c r="F316" s="17" t="n">
        <v>1</v>
      </c>
      <c r="G316" s="18">
        <f>E316*F316</f>
        <v/>
      </c>
      <c r="H316" s="13" t="inlineStr">
        <is>
          <t>Statement: PROPOSED PLINTH. REFER TO
SHEET T3-23 FOR DETAILS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17" ht="26" customHeight="1">
      <c r="A317" s="13" t="inlineStr">
        <is>
          <t>UNQUOTED</t>
        </is>
      </c>
      <c r="B317" s="14" t="inlineStr">
        <is>
          <t>No matching catalog item found</t>
        </is>
      </c>
      <c r="C317" s="15" t="inlineStr">
        <is>
          <t>INSTALL</t>
        </is>
      </c>
      <c r="D317" s="15" t="inlineStr">
        <is>
          <t>each</t>
        </is>
      </c>
      <c r="E317" s="16" t="n">
        <v>0</v>
      </c>
      <c r="F317" s="17" t="n">
        <v>1</v>
      </c>
      <c r="G317" s="18">
        <f>E317*F317</f>
        <v/>
      </c>
      <c r="H317" s="13" t="inlineStr">
        <is>
          <t>Statement: PROPOSED STEP PEGS (TYP.).
REFER TO SHEET T3-23 FOR
DETAILS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18" ht="26" customHeight="1">
      <c r="A318" s="13" t="inlineStr">
        <is>
          <t>UNQUOTED</t>
        </is>
      </c>
      <c r="B318" s="14" t="inlineStr">
        <is>
          <t>No matching catalog item found</t>
        </is>
      </c>
      <c r="C318" s="15" t="inlineStr">
        <is>
          <t>INSTALL</t>
        </is>
      </c>
      <c r="D318" s="15" t="inlineStr">
        <is>
          <t>each</t>
        </is>
      </c>
      <c r="E318" s="16" t="n">
        <v>0</v>
      </c>
      <c r="F318" s="17" t="n">
        <v>1</v>
      </c>
      <c r="G318" s="18">
        <f>E318*F318</f>
        <v/>
      </c>
      <c r="H318" s="13" t="inlineStr">
        <is>
          <t>Statement: PROPOSED PRESS END CAP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19" ht="26" customHeight="1">
      <c r="A319" s="13" t="inlineStr">
        <is>
          <t>UNQUOTED</t>
        </is>
      </c>
      <c r="B319" s="14" t="inlineStr">
        <is>
          <t>No matching catalog item found</t>
        </is>
      </c>
      <c r="C319" s="15" t="inlineStr">
        <is>
          <t>INSTALL</t>
        </is>
      </c>
      <c r="D319" s="15" t="inlineStr">
        <is>
          <t>each</t>
        </is>
      </c>
      <c r="E319" s="16" t="n">
        <v>0</v>
      </c>
      <c r="F319" s="17" t="n">
        <v>1</v>
      </c>
      <c r="G319" s="18">
        <f>E319*F319</f>
        <v/>
      </c>
      <c r="H319" s="13" t="inlineStr">
        <is>
          <t>Statement: PROPOSED PRESS END CAP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20" ht="26" customHeight="1">
      <c r="A320" s="13" t="inlineStr">
        <is>
          <t>UNQUOTED</t>
        </is>
      </c>
      <c r="B320" s="14" t="inlineStr">
        <is>
          <t>No matching catalog item found</t>
        </is>
      </c>
      <c r="C320" s="15" t="inlineStr">
        <is>
          <t>INSTALL</t>
        </is>
      </c>
      <c r="D320" s="15" t="inlineStr">
        <is>
          <t>each</t>
        </is>
      </c>
      <c r="E320" s="16" t="n">
        <v>0</v>
      </c>
      <c r="F320" s="17" t="n">
        <v>1</v>
      </c>
      <c r="G320" s="18">
        <f>E320*F320</f>
        <v/>
      </c>
      <c r="H320" s="13" t="inlineStr">
        <is>
          <t>Statement: E.L. 25.2m
C/L PROPOSED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21" ht="26" customHeight="1">
      <c r="A321" s="13" t="inlineStr">
        <is>
          <t>UNQUOTED</t>
        </is>
      </c>
      <c r="B321" s="14" t="inlineStr">
        <is>
          <t>No matching catalog item found</t>
        </is>
      </c>
      <c r="C321" s="15" t="inlineStr">
        <is>
          <t>RELOCATE</t>
        </is>
      </c>
      <c r="D321" s="15" t="inlineStr">
        <is>
          <t>each</t>
        </is>
      </c>
      <c r="E321" s="16" t="n">
        <v>0</v>
      </c>
      <c r="F321" s="17" t="n">
        <v>1</v>
      </c>
      <c r="G321" s="18">
        <f>E321*F321</f>
        <v/>
      </c>
      <c r="H321" s="13" t="inlineStr">
        <is>
          <t>Statement: NOTES:
* REFER TO NEW STAND-OFF LOCATION TO BE ADJUSTED
ON SITE IF ANY CLASHES WITH EXISTING STEEL MEMBER -&gt; Rules Applied: One Panel antenna relocation, Tower Mounted Device Relocation, Remote Radio Unit (RRU) Relocation -&gt; Match Reason: No catalog candidate satisfied the requirements.</t>
        </is>
      </c>
    </row>
    <row r="322" ht="26" customHeight="1">
      <c r="A322" s="13" t="inlineStr">
        <is>
          <t>UNQUOTED</t>
        </is>
      </c>
      <c r="B322" s="14" t="inlineStr">
        <is>
          <t>No matching catalog item found</t>
        </is>
      </c>
      <c r="C322" s="15" t="inlineStr">
        <is>
          <t>INSTALL</t>
        </is>
      </c>
      <c r="D322" s="15" t="inlineStr">
        <is>
          <t>each</t>
        </is>
      </c>
      <c r="E322" s="16" t="n">
        <v>0</v>
      </c>
      <c r="F322" s="17" t="n">
        <v>1</v>
      </c>
      <c r="G322" s="18">
        <f>E322*F322</f>
        <v/>
      </c>
      <c r="H322" s="13" t="inlineStr">
        <is>
          <t>Statement: PROPOSED PRESS END CAP
(TYP.)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23" ht="26" customHeight="1">
      <c r="A323" s="13" t="inlineStr">
        <is>
          <t>UNQUOTED</t>
        </is>
      </c>
      <c r="B323" s="14" t="inlineStr">
        <is>
          <t>No matching catalog item found</t>
        </is>
      </c>
      <c r="C323" s="15" t="inlineStr">
        <is>
          <t>INSTALL</t>
        </is>
      </c>
      <c r="D323" s="15" t="inlineStr">
        <is>
          <t>each</t>
        </is>
      </c>
      <c r="E323" s="16" t="n">
        <v>0</v>
      </c>
      <c r="F323" s="17" t="n">
        <v>1</v>
      </c>
      <c r="G323" s="18">
        <f>E323*F323</f>
        <v/>
      </c>
      <c r="H323" s="13" t="inlineStr">
        <is>
          <t>Statement: PROPOSED PRESS END CAP
(TYP.)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24" ht="26" customHeight="1">
      <c r="A324" s="13" t="inlineStr">
        <is>
          <t>UNQUOTED</t>
        </is>
      </c>
      <c r="B324" s="14" t="inlineStr">
        <is>
          <t>No matching catalog item found</t>
        </is>
      </c>
      <c r="C324" s="15" t="inlineStr">
        <is>
          <t>INSTALL</t>
        </is>
      </c>
      <c r="D324" s="15" t="inlineStr">
        <is>
          <t>each</t>
        </is>
      </c>
      <c r="E324" s="16" t="n">
        <v>0</v>
      </c>
      <c r="F324" s="17" t="n">
        <v>1</v>
      </c>
      <c r="G324" s="18">
        <f>E324*F324</f>
        <v/>
      </c>
      <c r="H324" s="13" t="inlineStr">
        <is>
          <t>Statement: PROPOSED PRESS END CAP (TYP.)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25" ht="26" customHeight="1">
      <c r="A325" s="13" t="inlineStr">
        <is>
          <t>UNQUOTED</t>
        </is>
      </c>
      <c r="B325" s="14" t="inlineStr">
        <is>
          <t>No matching catalog item found</t>
        </is>
      </c>
      <c r="C325" s="15" t="inlineStr">
        <is>
          <t>INSTALL</t>
        </is>
      </c>
      <c r="D325" s="15" t="inlineStr">
        <is>
          <t>each</t>
        </is>
      </c>
      <c r="E325" s="16" t="n">
        <v>0</v>
      </c>
      <c r="F325" s="17" t="n">
        <v>1</v>
      </c>
      <c r="G325" s="18">
        <f>E325*F325</f>
        <v/>
      </c>
      <c r="H325" s="13" t="inlineStr">
        <is>
          <t>Statement: PROPOSED LANYARD ANCHOR (TYP.)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26" ht="26" customHeight="1">
      <c r="A326" s="13" t="inlineStr">
        <is>
          <t>UNQUOTED</t>
        </is>
      </c>
      <c r="B326" s="14" t="inlineStr">
        <is>
          <t>No matching catalog item found</t>
        </is>
      </c>
      <c r="C326" s="15" t="inlineStr">
        <is>
          <t>INSTALL</t>
        </is>
      </c>
      <c r="D326" s="15" t="inlineStr">
        <is>
          <t>each</t>
        </is>
      </c>
      <c r="E326" s="16" t="n">
        <v>0</v>
      </c>
      <c r="F326" s="17" t="n">
        <v>1</v>
      </c>
      <c r="G326" s="18">
        <f>E326*F326</f>
        <v/>
      </c>
      <c r="H326" s="13" t="inlineStr">
        <is>
          <t>Statement: PROPOSED PLINTH.
REFER TO SHEET
T3-23 FOR DETAILS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27" ht="26" customHeight="1">
      <c r="A327" s="13" t="inlineStr">
        <is>
          <t>UNQUOTED</t>
        </is>
      </c>
      <c r="B327" s="14" t="inlineStr">
        <is>
          <t>No matching catalog item found</t>
        </is>
      </c>
      <c r="C327" s="15" t="inlineStr">
        <is>
          <t>REPLACE</t>
        </is>
      </c>
      <c r="D327" s="15" t="inlineStr">
        <is>
          <t>each</t>
        </is>
      </c>
      <c r="E327" s="16" t="n">
        <v>0</v>
      </c>
      <c r="F327" s="17" t="n">
        <v>1</v>
      </c>
      <c r="G327" s="18">
        <f>E327*F327</f>
        <v/>
      </c>
      <c r="H327" s="13" t="inlineStr">
        <is>
          <t>Statement: 15. ANY BOLTS LOOSENED SHALL BE REPLACED WITH PROPOSED BOLTS. REUSE OF EXISTING BOLTS/U-BOLTS IS NOT PERMITTED. -&gt; Rules Applied: None -&gt; Match Reason: No catalog candidate satisfied the requirements.</t>
        </is>
      </c>
    </row>
    <row r="328" ht="26" customHeight="1">
      <c r="A328" s="13" t="inlineStr">
        <is>
          <t>UNQUOTED</t>
        </is>
      </c>
      <c r="B328" s="14" t="inlineStr">
        <is>
          <t>No matching catalog item found</t>
        </is>
      </c>
      <c r="C328" s="15" t="inlineStr">
        <is>
          <t>INSTALL</t>
        </is>
      </c>
      <c r="D328" s="15" t="inlineStr">
        <is>
          <t>each</t>
        </is>
      </c>
      <c r="E328" s="16" t="n">
        <v>0</v>
      </c>
      <c r="F328" s="17" t="n">
        <v>1</v>
      </c>
      <c r="G328" s="18">
        <f>E328*F328</f>
        <v/>
      </c>
      <c r="H328" s="13" t="inlineStr">
        <is>
          <t>Statement: NOTE FOR MANUFACTURER &amp; INSTALLER:
TRIAL ASSEMBLE PRIOR TO GALVANISING AND DELIVERY
TO SITE TO ENSURE CORRECT FIT AND NUMBER OF PARTS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29" ht="26" customHeight="1">
      <c r="A329" s="13" t="inlineStr">
        <is>
          <t>UNQUOTED</t>
        </is>
      </c>
      <c r="B329" s="14" t="inlineStr">
        <is>
          <t>No matching catalog item found</t>
        </is>
      </c>
      <c r="C329" s="15" t="inlineStr">
        <is>
          <t>INSTALL</t>
        </is>
      </c>
      <c r="D329" s="15" t="inlineStr">
        <is>
          <t>each</t>
        </is>
      </c>
      <c r="E329" s="16" t="n">
        <v>0</v>
      </c>
      <c r="F329" s="17" t="n">
        <v>1</v>
      </c>
      <c r="G329" s="18">
        <f>E329*F329</f>
        <v/>
      </c>
      <c r="H329" s="13" t="inlineStr">
        <is>
          <t>Statement: PROPOSED PRESS
END FIT CAP (TYP.)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30" ht="26" customHeight="1">
      <c r="A330" s="13" t="inlineStr">
        <is>
          <t>UNQUOTED</t>
        </is>
      </c>
      <c r="B330" s="14" t="inlineStr">
        <is>
          <t>No matching catalog item found</t>
        </is>
      </c>
      <c r="C330" s="15" t="inlineStr">
        <is>
          <t>INSTALL</t>
        </is>
      </c>
      <c r="D330" s="15" t="inlineStr">
        <is>
          <t>each</t>
        </is>
      </c>
      <c r="E330" s="16" t="n">
        <v>0</v>
      </c>
      <c r="F330" s="17" t="n">
        <v>1</v>
      </c>
      <c r="G330" s="18">
        <f>E330*F330</f>
        <v/>
      </c>
      <c r="H330" s="13" t="inlineStr">
        <is>
          <t>Statement: PROPOSED STEP-PEGS
(TYP.)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31" ht="26" customHeight="1">
      <c r="A331" s="13" t="inlineStr">
        <is>
          <t>UNQUOTED</t>
        </is>
      </c>
      <c r="B331" s="14" t="inlineStr">
        <is>
          <t>No matching catalog item found</t>
        </is>
      </c>
      <c r="C331" s="15" t="inlineStr">
        <is>
          <t>INSTALL</t>
        </is>
      </c>
      <c r="D331" s="15" t="inlineStr">
        <is>
          <t>each</t>
        </is>
      </c>
      <c r="E331" s="16" t="n">
        <v>0</v>
      </c>
      <c r="F331" s="17" t="n">
        <v>1</v>
      </c>
      <c r="G331" s="18">
        <f>E331*F331</f>
        <v/>
      </c>
      <c r="H331" s="13" t="inlineStr">
        <is>
          <t>Statement: PROPOSED LANYARD
ANCHOR (TYP.)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32" ht="26" customHeight="1">
      <c r="A332" s="13" t="inlineStr">
        <is>
          <t>UNQUOTED</t>
        </is>
      </c>
      <c r="B332" s="14" t="inlineStr">
        <is>
          <t>No matching catalog item found</t>
        </is>
      </c>
      <c r="C332" s="15" t="inlineStr">
        <is>
          <t>INSTALL</t>
        </is>
      </c>
      <c r="D332" s="15" t="inlineStr">
        <is>
          <t>each</t>
        </is>
      </c>
      <c r="E332" s="16" t="n">
        <v>0</v>
      </c>
      <c r="F332" s="17" t="n">
        <v>1</v>
      </c>
      <c r="G332" s="18">
        <f>E332*F332</f>
        <v/>
      </c>
      <c r="H332" s="13" t="inlineStr">
        <is>
          <t>Statement: PROPOSED Ø160mm x
16mm THK. END PLATE
EXISTING STEP-PEGS
(TYP.)
MP7 -&gt;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33" ht="26" customHeight="1">
      <c r="A333" s="13" t="inlineStr">
        <is>
          <t>UNQUOTED</t>
        </is>
      </c>
      <c r="B333" s="14" t="inlineStr">
        <is>
          <t>No matching catalog item found</t>
        </is>
      </c>
      <c r="C333" s="15" t="inlineStr">
        <is>
          <t>INSTALL</t>
        </is>
      </c>
      <c r="D333" s="15" t="inlineStr">
        <is>
          <t>each</t>
        </is>
      </c>
      <c r="E333" s="16" t="n">
        <v>0</v>
      </c>
      <c r="F333" s="17" t="n">
        <v>1</v>
      </c>
      <c r="G333" s="18">
        <f>E333*F333</f>
        <v/>
      </c>
      <c r="H333" s="13" t="inlineStr">
        <is>
          <t>Statement: PROPOSED MP7 (TYP.) TO
SUIT EP2. REFER DETAILS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34" ht="26" customHeight="1">
      <c r="A334" s="13" t="inlineStr">
        <is>
          <t>UNQUOTED</t>
        </is>
      </c>
      <c r="B334" s="14" t="inlineStr">
        <is>
          <t>No matching catalog item found</t>
        </is>
      </c>
      <c r="C334" s="15" t="inlineStr">
        <is>
          <t>REPLACE</t>
        </is>
      </c>
      <c r="D334" s="15" t="inlineStr">
        <is>
          <t>each</t>
        </is>
      </c>
      <c r="E334" s="16" t="n">
        <v>0</v>
      </c>
      <c r="F334" s="17" t="n">
        <v>1</v>
      </c>
      <c r="G334" s="18">
        <f>E334*F334</f>
        <v/>
      </c>
      <c r="H334" s="13" t="inlineStr">
        <is>
          <t>Statement: EXISTING EBR4 TO BE REPLACED
WITH PROPOSED BR5 (TYP.) -&gt; Rules Applied: None -&gt; Match Reason: No catalog candidate satisfied the requirements.</t>
        </is>
      </c>
    </row>
    <row r="335" ht="26" customHeight="1">
      <c r="A335" s="13" t="inlineStr">
        <is>
          <t>UNQUOTED</t>
        </is>
      </c>
      <c r="B335" s="14" t="inlineStr">
        <is>
          <t>No matching catalog item found</t>
        </is>
      </c>
      <c r="C335" s="15" t="inlineStr">
        <is>
          <t>INSTALL</t>
        </is>
      </c>
      <c r="D335" s="15" t="inlineStr">
        <is>
          <t>each</t>
        </is>
      </c>
      <c r="E335" s="16" t="n">
        <v>0</v>
      </c>
      <c r="F335" s="17" t="n">
        <v>1</v>
      </c>
      <c r="G335" s="18">
        <f>E335*F335</f>
        <v/>
      </c>
      <c r="H335" s="13" t="inlineStr">
        <is>
          <t>Statement: PROPOSED 7mm THK. PACKER
PLATE, MIN. 70mm LONG TO FACE.
ALTERNATIVELY CONTRACTOR TO
USE STRUCTURAL GLUE SIKADUR-30°
OR SIMILAR INSTEAD OF WELDING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36" ht="26" customHeight="1">
      <c r="A336" s="13" t="inlineStr">
        <is>
          <t>UNQUOTED</t>
        </is>
      </c>
      <c r="B336" s="14" t="inlineStr">
        <is>
          <t>No matching catalog item found</t>
        </is>
      </c>
      <c r="C336" s="15" t="inlineStr">
        <is>
          <t>RETAIN</t>
        </is>
      </c>
      <c r="D336" s="15" t="inlineStr">
        <is>
          <t>each</t>
        </is>
      </c>
      <c r="E336" s="16" t="n">
        <v>0</v>
      </c>
      <c r="F336" s="17" t="n">
        <v>1</v>
      </c>
      <c r="G336" s="18">
        <f>E336*F336</f>
        <v/>
      </c>
      <c r="H336" s="13" t="inlineStr">
        <is>
          <t>Statement: EXISTING SHROUD TO BE OPENED AND RE-INSTATED AFTER INSTALLATION OF THE M16 BOLTS -&gt; Rules Applied: None -&gt; Match Reason: No catalog candidate satisfied the requirements.</t>
        </is>
      </c>
    </row>
    <row r="337" ht="26" customHeight="1">
      <c r="A337" s="13" t="inlineStr">
        <is>
          <t>UNQUOTED</t>
        </is>
      </c>
      <c r="B337" s="14" t="inlineStr">
        <is>
          <t>No matching catalog item found</t>
        </is>
      </c>
      <c r="C337" s="15" t="inlineStr">
        <is>
          <t>INSTALL</t>
        </is>
      </c>
      <c r="D337" s="15" t="inlineStr">
        <is>
          <t>each</t>
        </is>
      </c>
      <c r="E337" s="16" t="n">
        <v>0</v>
      </c>
      <c r="F337" s="17" t="n">
        <v>1</v>
      </c>
      <c r="G337" s="18">
        <f>E337*F337</f>
        <v/>
      </c>
      <c r="H337" s="13" t="inlineStr">
        <is>
          <t>Statement: PROPOSED 450 x 450 x 100mm PLINTH (TYP.)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38" ht="26" customHeight="1">
      <c r="A338" s="13" t="inlineStr">
        <is>
          <t>UNQUOTED</t>
        </is>
      </c>
      <c r="B338" s="14" t="inlineStr">
        <is>
          <t>No matching catalog item found</t>
        </is>
      </c>
      <c r="C338" s="15" t="inlineStr">
        <is>
          <t>INSTALL</t>
        </is>
      </c>
      <c r="D338" s="15" t="inlineStr">
        <is>
          <t>each</t>
        </is>
      </c>
      <c r="E338" s="16" t="n">
        <v>0</v>
      </c>
      <c r="F338" s="17" t="n">
        <v>1</v>
      </c>
      <c r="G338" s="18">
        <f>E338*F338</f>
        <v/>
      </c>
      <c r="H338" s="13" t="inlineStr">
        <is>
          <t>Statement: PROPOSED STEP-PEGS. REFER TO SHEET T3-23 FOR DETAILS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39" ht="26" customHeight="1">
      <c r="A339" s="13" t="inlineStr">
        <is>
          <t>UNQUOTED</t>
        </is>
      </c>
      <c r="B339" s="14" t="inlineStr">
        <is>
          <t>No matching catalog item found</t>
        </is>
      </c>
      <c r="C339" s="15" t="inlineStr">
        <is>
          <t>INSTALL</t>
        </is>
      </c>
      <c r="D339" s="15" t="inlineStr">
        <is>
          <t>each</t>
        </is>
      </c>
      <c r="E339" s="16" t="n">
        <v>0</v>
      </c>
      <c r="F339" s="17" t="n">
        <v>1</v>
      </c>
      <c r="G339" s="18">
        <f>E339*F339</f>
        <v/>
      </c>
      <c r="H339" s="13" t="inlineStr">
        <is>
          <t>Statement: EXISTING 200 x 5 SHS
2-Ø18 HOLES FOR 2-M16 THROUGH BOLTS
PROPOSED L-ANGLE 100 x 10 EA 100mm LONG
DETAIL 5
SCALE 1:5 -&gt;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40" ht="26" customHeight="1">
      <c r="A340" s="13" t="inlineStr">
        <is>
          <t>UNQUOTED</t>
        </is>
      </c>
      <c r="B340" s="14" t="inlineStr">
        <is>
          <t>No matching catalog item found</t>
        </is>
      </c>
      <c r="C340" s="15" t="inlineStr">
        <is>
          <t>INSTALL</t>
        </is>
      </c>
      <c r="D340" s="15" t="inlineStr">
        <is>
          <t>each</t>
        </is>
      </c>
      <c r="E340" s="16" t="n">
        <v>0</v>
      </c>
      <c r="F340" s="17" t="n">
        <v>1</v>
      </c>
      <c r="G340" s="18">
        <f>E340*F340</f>
        <v/>
      </c>
      <c r="H340" s="13" t="inlineStr">
        <is>
          <t>Statement: PROPOSED PRESS END CAP (TYP.)
PROPOSED STEP-PEGS (TYP.)
PL6. REFER TO SHEET T3-22 FOR DETAILS (TYP.)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41" ht="26" customHeight="1">
      <c r="A341" s="13" t="inlineStr">
        <is>
          <t>UNQUOTED</t>
        </is>
      </c>
      <c r="B341" s="14" t="inlineStr">
        <is>
          <t>No matching catalog item found</t>
        </is>
      </c>
      <c r="C341" s="15" t="inlineStr">
        <is>
          <t>INSTALL</t>
        </is>
      </c>
      <c r="D341" s="15" t="inlineStr">
        <is>
          <t>each</t>
        </is>
      </c>
      <c r="E341" s="16" t="n">
        <v>0</v>
      </c>
      <c r="F341" s="17" t="n">
        <v>1</v>
      </c>
      <c r="G341" s="18">
        <f>E341*F341</f>
        <v/>
      </c>
      <c r="H341" s="13" t="inlineStr">
        <is>
          <t>Statement: PROPOSED SPLICE PLATE (TYP.). REFER TO SHEET T3-23 FOR DETAILS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42" ht="26" customHeight="1">
      <c r="A342" s="13" t="inlineStr">
        <is>
          <t>UNQUOTED</t>
        </is>
      </c>
      <c r="B342" s="14" t="inlineStr">
        <is>
          <t>No matching catalog item found</t>
        </is>
      </c>
      <c r="C342" s="15" t="inlineStr">
        <is>
          <t>RETAIN</t>
        </is>
      </c>
      <c r="D342" s="15" t="inlineStr">
        <is>
          <t>each</t>
        </is>
      </c>
      <c r="E342" s="16" t="n">
        <v>0</v>
      </c>
      <c r="F342" s="17" t="n">
        <v>6</v>
      </c>
      <c r="G342" s="18">
        <f>E342*F342</f>
        <v/>
      </c>
      <c r="H342" s="13" t="inlineStr">
        <is>
          <t>Statement: PROPOSED SPLICE PLATE (TYP.). REFER TO SHEET T3-23 FOR DETAILS
EXISTING VERTICAL PURLIN (6 OFF) -&gt; Rules Applied: None -&gt; Match Reason: No catalog candidate satisfied the requirements.</t>
        </is>
      </c>
    </row>
    <row r="343" ht="26" customHeight="1">
      <c r="A343" s="13" t="inlineStr">
        <is>
          <t>UNQUOTED</t>
        </is>
      </c>
      <c r="B343" s="14" t="inlineStr">
        <is>
          <t>No matching catalog item found</t>
        </is>
      </c>
      <c r="C343" s="15" t="inlineStr">
        <is>
          <t>INSTALL</t>
        </is>
      </c>
      <c r="D343" s="15" t="inlineStr">
        <is>
          <t>each</t>
        </is>
      </c>
      <c r="E343" s="16" t="n">
        <v>0</v>
      </c>
      <c r="F343" s="17" t="n">
        <v>1</v>
      </c>
      <c r="G343" s="18">
        <f>E343*F343</f>
        <v/>
      </c>
      <c r="H343" s="13" t="inlineStr">
        <is>
          <t>Statement: PROPOSED PLINTH. REFER TO SHEET T3-23 FOR DETAILS
E.L. 19.20m TOP OF ROOF LEVEL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44" ht="26" customHeight="1">
      <c r="A344" s="13" t="inlineStr">
        <is>
          <t>UNQUOTED</t>
        </is>
      </c>
      <c r="B344" s="14" t="inlineStr">
        <is>
          <t>No matching catalog item found</t>
        </is>
      </c>
      <c r="C344" s="15" t="inlineStr">
        <is>
          <t>RETAIN</t>
        </is>
      </c>
      <c r="D344" s="15" t="inlineStr">
        <is>
          <t>each</t>
        </is>
      </c>
      <c r="E344" s="16" t="n">
        <v>0</v>
      </c>
      <c r="F344" s="17" t="n">
        <v>1</v>
      </c>
      <c r="G344" s="18">
        <f>E344*F344</f>
        <v/>
      </c>
      <c r="H344" s="13" t="inlineStr">
        <is>
          <t>Statement: EXISTING SHROUD TO BE OPENED AND RE-INSTATED AFTER INSTALLATION OF THE M16 BOLTS -&gt; Rules Applied: None -&gt; Match Reason: No catalog candidate satisfied the requirements.</t>
        </is>
      </c>
    </row>
    <row r="345" ht="26" customHeight="1">
      <c r="A345" s="13" t="inlineStr">
        <is>
          <t>UNQUOTED</t>
        </is>
      </c>
      <c r="B345" s="14" t="inlineStr">
        <is>
          <t>No matching catalog item found</t>
        </is>
      </c>
      <c r="C345" s="15" t="inlineStr">
        <is>
          <t>INSTALL</t>
        </is>
      </c>
      <c r="D345" s="15" t="inlineStr">
        <is>
          <t>each</t>
        </is>
      </c>
      <c r="E345" s="16" t="n">
        <v>0</v>
      </c>
      <c r="F345" s="17" t="n">
        <v>10</v>
      </c>
      <c r="G345" s="18">
        <f>E345*F345</f>
        <v/>
      </c>
      <c r="H345" s="13" t="inlineStr">
        <is>
          <t>Statement: PROPOSED L-ANGLE 100 x 10 EA 100mm LONG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46" ht="26" customHeight="1">
      <c r="A346" s="13" t="inlineStr">
        <is>
          <t>UNQUOTED</t>
        </is>
      </c>
      <c r="B346" s="14" t="inlineStr">
        <is>
          <t>No matching catalog item found</t>
        </is>
      </c>
      <c r="C346" s="15" t="inlineStr">
        <is>
          <t>INSTALL</t>
        </is>
      </c>
      <c r="D346" s="15" t="inlineStr">
        <is>
          <t>each</t>
        </is>
      </c>
      <c r="E346" s="16" t="n">
        <v>0</v>
      </c>
      <c r="F346" s="17" t="n">
        <v>1</v>
      </c>
      <c r="G346" s="18">
        <f>E346*F346</f>
        <v/>
      </c>
      <c r="H346" s="13" t="inlineStr">
        <is>
          <t>Statement: PROPOSED STAND-OFF MOUNTS FOR SECTOR 1. REFER TO
SHEETS T3-14, T3-15 &amp; T3-18 FOR DETAILS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47" ht="26" customHeight="1">
      <c r="A347" s="13" t="inlineStr">
        <is>
          <t>UNQUOTED</t>
        </is>
      </c>
      <c r="B347" s="14" t="inlineStr">
        <is>
          <t>No matching catalog item found</t>
        </is>
      </c>
      <c r="C347" s="15" t="inlineStr">
        <is>
          <t>INSTALL</t>
        </is>
      </c>
      <c r="D347" s="15" t="inlineStr">
        <is>
          <t>each</t>
        </is>
      </c>
      <c r="E347" s="16" t="n">
        <v>0</v>
      </c>
      <c r="F347" s="17" t="n">
        <v>1</v>
      </c>
      <c r="G347" s="18">
        <f>E347*F347</f>
        <v/>
      </c>
      <c r="H347" s="13" t="inlineStr">
        <is>
          <t>Statement: PROPOSED TELSTRA LEASE AREA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48" ht="26" customHeight="1">
      <c r="A348" s="13" t="inlineStr">
        <is>
          <t>UNQUOTED</t>
        </is>
      </c>
      <c r="B348" s="14" t="inlineStr">
        <is>
          <t>No matching catalog item found</t>
        </is>
      </c>
      <c r="C348" s="15" t="inlineStr">
        <is>
          <t>INSTALL</t>
        </is>
      </c>
      <c r="D348" s="15" t="inlineStr">
        <is>
          <t>each</t>
        </is>
      </c>
      <c r="E348" s="16" t="n">
        <v>0</v>
      </c>
      <c r="F348" s="17" t="n">
        <v>1</v>
      </c>
      <c r="G348" s="18">
        <f>E348*F348</f>
        <v/>
      </c>
      <c r="H348" s="13" t="inlineStr">
        <is>
          <t>Statement: PROPOSED STEEL SUPPORT
STRUCTURE FOR SECTOR 3
WILL BE INSTALLED IN CLOSER
TO THE SECTOR 1 LOCATION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49" ht="26" customHeight="1">
      <c r="A349" s="13" t="inlineStr">
        <is>
          <t>UNQUOTED</t>
        </is>
      </c>
      <c r="B349" s="14" t="inlineStr">
        <is>
          <t>No matching catalog item found</t>
        </is>
      </c>
      <c r="C349" s="15" t="inlineStr">
        <is>
          <t>INSTALL</t>
        </is>
      </c>
      <c r="D349" s="15" t="inlineStr">
        <is>
          <t>each</t>
        </is>
      </c>
      <c r="E349" s="16" t="n">
        <v>0</v>
      </c>
      <c r="F349" s="17" t="n">
        <v>1</v>
      </c>
      <c r="G349" s="18">
        <f>E349*F349</f>
        <v/>
      </c>
      <c r="H349" s="13" t="inlineStr">
        <is>
          <t>Statement: PROPOSED TELSTRA LEASE AREA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50" ht="26" customHeight="1">
      <c r="A350" s="13" t="inlineStr">
        <is>
          <t>UNQUOTED</t>
        </is>
      </c>
      <c r="B350" s="14" t="inlineStr">
        <is>
          <t>No matching catalog item found</t>
        </is>
      </c>
      <c r="C350" s="15" t="inlineStr">
        <is>
          <t>INSTALL</t>
        </is>
      </c>
      <c r="D350" s="15" t="inlineStr">
        <is>
          <t>each</t>
        </is>
      </c>
      <c r="E350" s="16" t="n">
        <v>0</v>
      </c>
      <c r="F350" s="17" t="n">
        <v>1</v>
      </c>
      <c r="G350" s="18">
        <f>E350*F350</f>
        <v/>
      </c>
      <c r="H350" s="13" t="inlineStr">
        <is>
          <t>Statement: PROPOSED TELSTRA 150W CABLE LADDER
(SECTOR 3) TO ACCOMMODATE PROPOSED
TELSTRA W&amp;B 7/8" HYBRID CABLE (1 OFF)
FOR LTE1800/LTE2100/NR/LTE2600/NR3600
AND RFS LCF114-50J FEEDERS (2 OFF) FOR
LTE700/NR850 -&gt; Rules Applied: One panel Antenna, One 5G AAU - first, GPS system, Tower Mounted Device (TMA, COM, FILTER), Remote Radio Unit (RRU), External Combiner, One panel Antenna - extra over, One 5G AAU - extra over, RRU x 1 - Extra over W12252 -&gt; Match Reason: No catalog candidate satisfied the requirements.</t>
        </is>
      </c>
    </row>
    <row r="351" ht="26" customHeight="1">
      <c r="A351" s="19" t="n"/>
      <c r="B351" s="20" t="inlineStr">
        <is>
          <t>TOTAL ESTIMATED COST (EXCLUDING GST)</t>
        </is>
      </c>
      <c r="C351" s="19" t="n"/>
      <c r="D351" s="19" t="n"/>
      <c r="E351" s="19" t="n"/>
      <c r="F351" s="19" t="n"/>
      <c r="G351" s="21">
        <f>SUM(G4:G350)</f>
        <v/>
      </c>
      <c r="H351" s="19" t="n"/>
    </row>
  </sheetData>
  <autoFilter ref="A3:H350"/>
  <mergeCells count="15">
    <mergeCell ref="A12:H12"/>
    <mergeCell ref="A4:H4"/>
    <mergeCell ref="A131:H131"/>
    <mergeCell ref="A250:H250"/>
    <mergeCell ref="A227:H227"/>
    <mergeCell ref="A24:H24"/>
    <mergeCell ref="A16:H16"/>
    <mergeCell ref="A242:H242"/>
    <mergeCell ref="A99:H99"/>
    <mergeCell ref="A115:H115"/>
    <mergeCell ref="A247:H247"/>
    <mergeCell ref="A264:H264"/>
    <mergeCell ref="A47:H47"/>
    <mergeCell ref="A1:H1"/>
    <mergeCell ref="A198:H19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2026-09-03T13:13:44Z</dcterms:created>
  <dcterms:modified xmlns:dcterms="http://purl.org/dc/terms/" xmlns:xsi="http://www.w3.org/2001/XMLSchema-instance" xsi:type="dcterms:W3CDTF">2026-09-03T13:13:44Z</dcterms:modified>
</cp:coreProperties>
</file>